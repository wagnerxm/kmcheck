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nograma Físico-Financeiro" sheetId="1" state="visible" r:id="rId1"/>
  </sheets>
  <definedNames>
    <definedName name="_xlnm.Print_Titles" localSheetId="0">'Cronograma Físico-Financeiro'!$1:$14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424242"/>
      <sz val="9"/>
    </font>
    <font>
      <name val="Arial"/>
      <color rgb="00424242"/>
      <sz val="9"/>
    </font>
    <font>
      <sz val="1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color rgb="00000000"/>
      <sz val="8"/>
    </font>
    <font>
      <name val="Arial"/>
      <color rgb="000D47A1"/>
      <sz val="8"/>
    </font>
    <font>
      <name val="Arial"/>
      <color rgb="00B71C1C"/>
      <sz val="8"/>
    </font>
    <font>
      <name val="Arial"/>
      <b val="1"/>
      <color rgb="00B71C1C"/>
      <sz val="8"/>
    </font>
    <font>
      <name val="Arial"/>
      <b val="1"/>
      <color rgb="000D47A1"/>
      <sz val="9"/>
    </font>
    <font>
      <name val="Arial"/>
      <b val="1"/>
      <color rgb="00E65100"/>
      <sz val="10"/>
    </font>
  </fonts>
  <fills count="11">
    <fill>
      <patternFill/>
    </fill>
    <fill>
      <patternFill patternType="gray125"/>
    </fill>
    <fill>
      <patternFill patternType="solid">
        <fgColor rgb="001F4E28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37474F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1B5E20"/>
      </patternFill>
    </fill>
    <fill>
      <patternFill patternType="solid">
        <fgColor rgb="00FFF9C4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BDBDBD"/>
      </left>
      <right/>
      <top/>
      <bottom/>
      <diagonal/>
    </border>
    <border>
      <left style="thin">
        <color rgb="00BDBDBD"/>
      </left>
      <right style="thin">
        <color rgb="00BDBDBD"/>
      </right>
      <top/>
      <bottom/>
      <diagonal/>
    </border>
    <border>
      <left style="thin">
        <color rgb="00BDBDBD"/>
      </left>
      <right style="thin">
        <color rgb="00BDBDBD"/>
      </right>
      <top/>
      <bottom style="thin">
        <color rgb="00BDBDBD"/>
      </bottom>
      <diagonal/>
    </border>
    <border>
      <left style="thin">
        <color rgb="00BDBDBD"/>
      </left>
      <right style="thin">
        <color rgb="00BDBDBD"/>
      </right>
      <top style="medium">
        <color rgb="00757575"/>
      </top>
      <bottom style="medium">
        <color rgb="00757575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3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right" vertical="center"/>
    </xf>
    <xf numFmtId="4" fontId="9" fillId="6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10" fontId="10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3" fontId="9" fillId="7" borderId="1" applyAlignment="1" pivotButton="0" quotePrefix="0" xfId="0">
      <alignment horizontal="right" vertical="center"/>
    </xf>
    <xf numFmtId="4" fontId="9" fillId="7" borderId="1" applyAlignment="1" pivotButton="0" quotePrefix="0" xfId="0">
      <alignment horizontal="right" vertical="center"/>
    </xf>
    <xf numFmtId="10" fontId="10" fillId="7" borderId="1" applyAlignment="1" pivotButton="0" quotePrefix="0" xfId="0">
      <alignment horizontal="center" vertical="center" wrapText="1"/>
    </xf>
    <xf numFmtId="4" fontId="8" fillId="7" borderId="1" applyAlignment="1" pivotButton="0" quotePrefix="0" xfId="0">
      <alignment horizontal="right" vertical="center"/>
    </xf>
    <xf numFmtId="4" fontId="11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8" fillId="6" borderId="1" applyAlignment="1" pivotButton="0" quotePrefix="0" xfId="0">
      <alignment horizontal="right" vertical="center"/>
    </xf>
    <xf numFmtId="4" fontId="11" fillId="6" borderId="1" applyAlignment="1" pivotButton="0" quotePrefix="0" xfId="0">
      <alignment horizontal="right" vertical="center"/>
    </xf>
    <xf numFmtId="4" fontId="12" fillId="6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8" fillId="8" borderId="1" pivotButton="0" quotePrefix="0" xfId="0"/>
    <xf numFmtId="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10" fontId="13" fillId="8" borderId="1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right" vertical="center"/>
    </xf>
    <xf numFmtId="0" fontId="7" fillId="2" borderId="5" pivotButton="0" quotePrefix="0" xfId="0"/>
    <xf numFmtId="4" fontId="7" fillId="2" borderId="5" applyAlignment="1" pivotButton="0" quotePrefix="0" xfId="0">
      <alignment horizontal="right" vertical="center"/>
    </xf>
    <xf numFmtId="0" fontId="2" fillId="9" borderId="5" applyAlignment="1" pivotButton="0" quotePrefix="0" xfId="0">
      <alignment horizontal="right" vertical="center"/>
    </xf>
    <xf numFmtId="0" fontId="2" fillId="9" borderId="5" pivotButton="0" quotePrefix="0" xfId="0"/>
    <xf numFmtId="4" fontId="2" fillId="9" borderId="5" applyAlignment="1" pivotButton="0" quotePrefix="0" xfId="0">
      <alignment horizontal="right" vertical="center"/>
    </xf>
    <xf numFmtId="0" fontId="14" fillId="10" borderId="5" applyAlignment="1" pivotButton="0" quotePrefix="0" xfId="0">
      <alignment horizontal="right" vertical="center"/>
    </xf>
    <xf numFmtId="0" fontId="14" fillId="10" borderId="5" pivotButton="0" quotePrefix="0" xfId="0"/>
    <xf numFmtId="10" fontId="14" fillId="10" borderId="5" applyAlignment="1" pivotButton="0" quotePrefix="0" xfId="0">
      <alignment horizontal="right" vertical="center"/>
    </xf>
    <xf numFmtId="0" fontId="0" fillId="10" borderId="5" pivotButton="0" quotePrefix="0" xfId="0"/>
    <xf numFmtId="0" fontId="4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27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8" customWidth="1" min="3" max="3"/>
    <col width="16" customWidth="1" min="4" max="4"/>
    <col width="18" customWidth="1" min="5" max="5"/>
    <col width="16" customWidth="1" min="6" max="6"/>
    <col width="11" customWidth="1" min="7" max="7"/>
    <col width="18" customWidth="1" min="8" max="8"/>
    <col width="16" customWidth="1" min="9" max="9"/>
    <col width="18" customWidth="1" min="10" max="10"/>
    <col width="11" customWidth="1" min="11" max="11"/>
  </cols>
  <sheetData>
    <row r="1" ht="32" customHeight="1">
      <c r="A1" s="1" t="inlineStr">
        <is>
          <t>CRONOGRAMA FÍSICO-FINANCEIRO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0" customHeight="1">
      <c r="A2" s="3" t="inlineStr">
        <is>
          <t>DNIT — Superintendência Regional do DNIT no Estado do Rio Grande do Norte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5" t="inlineStr">
        <is>
          <t>Contrato:</t>
        </is>
      </c>
      <c r="B3" s="6" t="n"/>
      <c r="C3" s="7" t="inlineStr">
        <is>
          <t>14 00729/2023 — MATERA ENGENHARIA LTDA</t>
        </is>
      </c>
      <c r="D3" s="6" t="n"/>
      <c r="E3" s="6" t="n"/>
      <c r="F3" s="6" t="n"/>
      <c r="G3" s="6" t="n"/>
      <c r="H3" s="6" t="n"/>
      <c r="I3" s="6" t="n"/>
      <c r="J3" s="6" t="n"/>
      <c r="K3" s="6" t="n"/>
    </row>
    <row r="4" ht="36" customHeight="1">
      <c r="A4" s="5" t="inlineStr">
        <is>
          <t>Tipo de Contrato:</t>
        </is>
      </c>
      <c r="B4" s="6" t="n"/>
      <c r="C4" s="7" t="inlineStr">
        <is>
          <t>Obra de Engenharia — Forma de Cálculo: NORMAL</t>
        </is>
      </c>
      <c r="D4" s="6" t="n"/>
      <c r="E4" s="6" t="n"/>
      <c r="F4" s="6" t="n"/>
      <c r="G4" s="6" t="n"/>
      <c r="H4" s="6" t="n"/>
      <c r="I4" s="6" t="n"/>
      <c r="J4" s="6" t="n"/>
      <c r="K4" s="6" t="n"/>
    </row>
    <row r="5">
      <c r="A5" s="5" t="inlineStr">
        <is>
          <t>Objeto:</t>
        </is>
      </c>
      <c r="B5" s="6" t="n"/>
      <c r="C5" s="7" t="inlineStr">
        <is>
          <t>RN — BR-101 — TOUROS (FAROL DO CALCANHAR) — DIV RN/PB; RN — BR-226 — ENTR BR-101 (VIADUTO DA URBANA — NATAL) *TRECHO URBANO* — DIV RN/CE; RN — BR-304 — DIV CE/RN — ENTR BR-101(B) (COMPLEXO VIÁRIO DO 4º CENTENÁRIO — NATAL) *TRECHO URBANO*; RN — BR-406 — ENTR BR-104(A)/RN-118(A)/221(A) (MACAU) — ENTR BR-101(B) (PONTE PRESIDENTE COSTA E SILVA)* TRECHO URBANO*</t>
        </is>
      </c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5" t="inlineStr">
        <is>
          <t>Nº do Processo:</t>
        </is>
      </c>
      <c r="B6" s="6" t="n"/>
      <c r="C6" s="7" t="inlineStr">
        <is>
          <t>50614.003291/2023-42</t>
        </is>
      </c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5" t="inlineStr">
        <is>
          <t>Data Base:</t>
        </is>
      </c>
      <c r="B7" s="6" t="n"/>
      <c r="C7" s="7" t="inlineStr">
        <is>
          <t>01/01/2023</t>
        </is>
      </c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Período Líquido:</t>
        </is>
      </c>
      <c r="B8" s="6" t="n"/>
      <c r="C8" s="7" t="inlineStr">
        <is>
          <t>01/07/2026 a 31/07/2026</t>
        </is>
      </c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Período Acumulado:</t>
        </is>
      </c>
      <c r="B9" s="6" t="n"/>
      <c r="C9" s="7" t="inlineStr">
        <is>
          <t>09/01/2024 a 31/07/2026</t>
        </is>
      </c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5" t="inlineStr">
        <is>
          <t>Medição:</t>
        </is>
      </c>
      <c r="B10" s="6" t="n"/>
      <c r="C10" s="7" t="inlineStr">
        <is>
          <t>31ª Medição Provisória — Índices Definitivos — Processado 20/08/2026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5" t="inlineStr">
        <is>
          <t>Valor do Contrato:</t>
        </is>
      </c>
      <c r="B11" s="6" t="n"/>
      <c r="C11" s="7" t="inlineStr">
        <is>
          <t>R$ 11.371.194,85</t>
        </is>
      </c>
      <c r="D11" s="6" t="n"/>
      <c r="E11" s="6" t="n"/>
      <c r="F11" s="6" t="n"/>
      <c r="G11" s="6" t="n"/>
      <c r="H11" s="6" t="n"/>
      <c r="I11" s="6" t="n"/>
      <c r="J11" s="6" t="n"/>
      <c r="K11" s="6" t="n"/>
    </row>
    <row r="13" ht="22" customHeight="1">
      <c r="A13" s="8" t="inlineStr">
        <is>
          <t>Item</t>
        </is>
      </c>
      <c r="B13" s="8" t="inlineStr">
        <is>
          <t>Descrição do Serviço</t>
        </is>
      </c>
      <c r="C13" s="8" t="inlineStr">
        <is>
          <t>Und</t>
        </is>
      </c>
      <c r="D13" s="8" t="inlineStr">
        <is>
          <t>DADOS CONTRATUAIS</t>
        </is>
      </c>
      <c r="E13" s="8" t="n"/>
      <c r="F13" s="8" t="inlineStr">
        <is>
          <t>EXECUÇÃO FÍSICA</t>
        </is>
      </c>
      <c r="G13" s="8" t="n"/>
      <c r="H13" s="8" t="inlineStr">
        <is>
          <t>EXECUÇÃO FINANCEIRA</t>
        </is>
      </c>
      <c r="I13" s="8" t="n"/>
      <c r="J13" s="8" t="n"/>
      <c r="K13" s="8" t="n"/>
    </row>
    <row r="14" ht="30" customHeight="1">
      <c r="A14" s="9" t="n"/>
      <c r="B14" s="9" t="n"/>
      <c r="C14" s="9" t="n"/>
      <c r="D14" s="8" t="inlineStr">
        <is>
          <t>Qtd Contratada</t>
        </is>
      </c>
      <c r="E14" s="8" t="inlineStr">
        <is>
          <t>Valor Contratado (R$)</t>
        </is>
      </c>
      <c r="F14" s="8" t="inlineStr">
        <is>
          <t>Qtd Acumulada</t>
        </is>
      </c>
      <c r="G14" s="8" t="inlineStr">
        <is>
          <t>% Físico</t>
        </is>
      </c>
      <c r="H14" s="8" t="inlineStr">
        <is>
          <t>Valor Medido Acum. (R$)</t>
        </is>
      </c>
      <c r="I14" s="8" t="inlineStr">
        <is>
          <t>Reajustamento Acum. (R$)</t>
        </is>
      </c>
      <c r="J14" s="8" t="inlineStr">
        <is>
          <t>Total Acumulado (R$)</t>
        </is>
      </c>
      <c r="K14" s="8" t="inlineStr">
        <is>
          <t>% Financeiro</t>
        </is>
      </c>
    </row>
    <row r="15" ht="22" customHeight="1">
      <c r="A15" s="10" t="inlineStr">
        <is>
          <t>1.0 — SERVIÇOS DE MANUTENÇÃO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 ht="16" customHeight="1">
      <c r="A16" s="11" t="inlineStr">
        <is>
          <t>49381</t>
        </is>
      </c>
      <c r="B16" s="12" t="inlineStr">
        <is>
          <t>Roçada com roçadeira costal</t>
        </is>
      </c>
      <c r="C16" s="13" t="inlineStr">
        <is>
          <t>HA</t>
        </is>
      </c>
      <c r="D16" s="14" t="n">
        <v>0.385</v>
      </c>
      <c r="E16" s="15" t="n">
        <v>308.23</v>
      </c>
      <c r="F16" s="16" t="n">
        <v>0</v>
      </c>
      <c r="G16" s="17" t="n">
        <v>0</v>
      </c>
      <c r="H16" s="15" t="n">
        <v>0</v>
      </c>
      <c r="I16" s="15" t="n">
        <v>0</v>
      </c>
      <c r="J16" s="15">
        <f>H16+I16</f>
        <v/>
      </c>
      <c r="K16" s="17">
        <f>J16/E16</f>
        <v/>
      </c>
    </row>
    <row r="17" ht="16" customHeight="1">
      <c r="A17" s="18" t="inlineStr">
        <is>
          <t>49684</t>
        </is>
      </c>
      <c r="B17" s="19" t="inlineStr">
        <is>
          <t>Limpeza em junta de dilatação</t>
        </is>
      </c>
      <c r="C17" s="20" t="inlineStr">
        <is>
          <t>M</t>
        </is>
      </c>
      <c r="D17" s="21" t="n">
        <v>757200</v>
      </c>
      <c r="E17" s="22" t="n">
        <v>2854.64</v>
      </c>
      <c r="F17" s="21" t="n">
        <v>10100</v>
      </c>
      <c r="G17" s="23" t="n">
        <v>0.0133</v>
      </c>
      <c r="H17" s="22" t="n">
        <v>38.07</v>
      </c>
      <c r="I17" s="22" t="n">
        <v>1.74</v>
      </c>
      <c r="J17" s="24">
        <f>H17+I17</f>
        <v/>
      </c>
      <c r="K17" s="23">
        <f>J17/E17</f>
        <v/>
      </c>
    </row>
    <row r="18" ht="16" customHeight="1">
      <c r="A18" s="11" t="inlineStr">
        <is>
          <t>49686</t>
        </is>
      </c>
      <c r="B18" s="12" t="inlineStr">
        <is>
          <t>Poda de árvores com até 5 m de altura</t>
        </is>
      </c>
      <c r="C18" s="13" t="inlineStr">
        <is>
          <t>M³</t>
        </is>
      </c>
      <c r="D18" s="16" t="n">
        <v>9500</v>
      </c>
      <c r="E18" s="15" t="n">
        <v>2177.78</v>
      </c>
      <c r="F18" s="16" t="n">
        <v>0</v>
      </c>
      <c r="G18" s="17" t="n">
        <v>0</v>
      </c>
      <c r="H18" s="15" t="n">
        <v>0</v>
      </c>
      <c r="I18" s="15" t="n">
        <v>0</v>
      </c>
      <c r="J18" s="15">
        <f>H18+I18</f>
        <v/>
      </c>
      <c r="K18" s="17">
        <f>J18/E18</f>
        <v/>
      </c>
    </row>
    <row r="19" ht="28" customHeight="1">
      <c r="A19" s="18" t="inlineStr">
        <is>
          <t>50281</t>
        </is>
      </c>
      <c r="B19" s="19" t="inlineStr">
        <is>
          <t>Recomposição de erosão em corte ou aterro com material de jazida</t>
        </is>
      </c>
      <c r="C19" s="20" t="inlineStr">
        <is>
          <t>M³</t>
        </is>
      </c>
      <c r="D19" s="21" t="n">
        <v>387250</v>
      </c>
      <c r="E19" s="22" t="n">
        <v>8368.469999999999</v>
      </c>
      <c r="F19" s="21" t="n">
        <v>72000</v>
      </c>
      <c r="G19" s="23" t="n">
        <v>0.1859</v>
      </c>
      <c r="H19" s="22" t="n">
        <v>1555.92</v>
      </c>
      <c r="I19" s="22" t="n">
        <v>154.96</v>
      </c>
      <c r="J19" s="24">
        <f>H19+I19</f>
        <v/>
      </c>
      <c r="K19" s="23">
        <f>J19/E19</f>
        <v/>
      </c>
    </row>
    <row r="20" ht="16" customHeight="1">
      <c r="A20" s="11" t="inlineStr">
        <is>
          <t>50329</t>
        </is>
      </c>
      <c r="B20" s="12" t="inlineStr">
        <is>
          <t>Remoção manual de vegetação daninha em frestas</t>
        </is>
      </c>
      <c r="C20" s="13" t="inlineStr">
        <is>
          <t>M</t>
        </is>
      </c>
      <c r="D20" s="16" t="n">
        <v>7285012</v>
      </c>
      <c r="E20" s="15" t="n">
        <v>19086.73</v>
      </c>
      <c r="F20" s="16" t="n">
        <v>0</v>
      </c>
      <c r="G20" s="17" t="n">
        <v>0</v>
      </c>
      <c r="H20" s="15" t="n">
        <v>0</v>
      </c>
      <c r="I20" s="15" t="n">
        <v>0</v>
      </c>
      <c r="J20" s="15">
        <f>H20+I20</f>
        <v/>
      </c>
      <c r="K20" s="17">
        <f>J20/E20</f>
        <v/>
      </c>
    </row>
    <row r="21" ht="16" customHeight="1">
      <c r="A21" s="18" t="inlineStr">
        <is>
          <t>51114</t>
        </is>
      </c>
      <c r="B21" s="19" t="inlineStr">
        <is>
          <t>Pintura manual com nata de cimento — 3 demãos</t>
        </is>
      </c>
      <c r="C21" s="20" t="inlineStr">
        <is>
          <t>M²</t>
        </is>
      </c>
      <c r="D21" s="21" t="n">
        <v>0</v>
      </c>
      <c r="E21" s="22" t="n">
        <v>0</v>
      </c>
      <c r="F21" s="21" t="n">
        <v>0</v>
      </c>
      <c r="G21" s="23" t="n">
        <v>0</v>
      </c>
      <c r="H21" s="25" t="n">
        <v>-0.04</v>
      </c>
      <c r="I21" s="25" t="n">
        <v>-19550.43</v>
      </c>
      <c r="J21" s="26">
        <f>H21+I21</f>
        <v/>
      </c>
      <c r="K21" s="23" t="n">
        <v>0</v>
      </c>
    </row>
    <row r="22" ht="28" customHeight="1">
      <c r="A22" s="11" t="inlineStr">
        <is>
          <t>51909</t>
        </is>
      </c>
      <c r="B22" s="12" t="inlineStr">
        <is>
          <t>Terminal de ancoragem de defensa metálica em barreira New Jersey — fornecimento e implantação</t>
        </is>
      </c>
      <c r="C22" s="13" t="inlineStr">
        <is>
          <t>UND</t>
        </is>
      </c>
      <c r="D22" s="16" t="n">
        <v>3000</v>
      </c>
      <c r="E22" s="15" t="n">
        <v>1645.89</v>
      </c>
      <c r="F22" s="16" t="n">
        <v>0</v>
      </c>
      <c r="G22" s="17" t="n">
        <v>0</v>
      </c>
      <c r="H22" s="15" t="n">
        <v>0</v>
      </c>
      <c r="I22" s="15" t="n">
        <v>0</v>
      </c>
      <c r="J22" s="15">
        <f>H22+I22</f>
        <v/>
      </c>
      <c r="K22" s="17">
        <f>J22/E22</f>
        <v/>
      </c>
    </row>
    <row r="23" ht="28" customHeight="1">
      <c r="A23" s="18" t="inlineStr">
        <is>
          <t>52446</t>
        </is>
      </c>
      <c r="B23" s="19" t="inlineStr">
        <is>
          <t>Limpeza e desobstrução de dispositivos de drenagem em OAE</t>
        </is>
      </c>
      <c r="C23" s="20" t="inlineStr">
        <is>
          <t>UND</t>
        </is>
      </c>
      <c r="D23" s="21" t="n">
        <v>1265000</v>
      </c>
      <c r="E23" s="22" t="n">
        <v>6653.9</v>
      </c>
      <c r="F23" s="21" t="n">
        <v>407000</v>
      </c>
      <c r="G23" s="23" t="n">
        <v>0.3217</v>
      </c>
      <c r="H23" s="22" t="n">
        <v>2140.82</v>
      </c>
      <c r="I23" s="22" t="n">
        <v>98.04000000000001</v>
      </c>
      <c r="J23" s="24">
        <f>H23+I23</f>
        <v/>
      </c>
      <c r="K23" s="23">
        <f>J23/E23</f>
        <v/>
      </c>
    </row>
    <row r="24" ht="16" customHeight="1">
      <c r="A24" s="11" t="inlineStr">
        <is>
          <t>83154</t>
        </is>
      </c>
      <c r="B24" s="12" t="inlineStr">
        <is>
          <t>Caiação manual com fixador de cal</t>
        </is>
      </c>
      <c r="C24" s="13" t="inlineStr">
        <is>
          <t>M²</t>
        </is>
      </c>
      <c r="D24" s="16" t="n">
        <v>11601009</v>
      </c>
      <c r="E24" s="15" t="n">
        <v>37819.28</v>
      </c>
      <c r="F24" s="16" t="n">
        <v>8920450</v>
      </c>
      <c r="G24" s="17" t="n">
        <v>0.7689</v>
      </c>
      <c r="H24" s="15" t="n">
        <v>29080.62</v>
      </c>
      <c r="I24" s="15" t="n">
        <v>2011.09</v>
      </c>
      <c r="J24" s="27">
        <f>H24+I24</f>
        <v/>
      </c>
      <c r="K24" s="17">
        <f>J24/E24</f>
        <v/>
      </c>
    </row>
    <row r="25" ht="16" customHeight="1">
      <c r="A25" s="18" t="inlineStr">
        <is>
          <t>86440</t>
        </is>
      </c>
      <c r="B25" s="19" t="inlineStr">
        <is>
          <t>Remoção manual de revestimento asfáltico</t>
        </is>
      </c>
      <c r="C25" s="20" t="inlineStr">
        <is>
          <t>M³</t>
        </is>
      </c>
      <c r="D25" s="21" t="n">
        <v>33137</v>
      </c>
      <c r="E25" s="22" t="n">
        <v>8728.940000000001</v>
      </c>
      <c r="F25" s="21" t="n">
        <v>0</v>
      </c>
      <c r="G25" s="23" t="n">
        <v>0</v>
      </c>
      <c r="H25" s="22" t="n">
        <v>0</v>
      </c>
      <c r="I25" s="22" t="n">
        <v>0</v>
      </c>
      <c r="J25" s="22">
        <f>H25+I25</f>
        <v/>
      </c>
      <c r="K25" s="23">
        <f>J25/E25</f>
        <v/>
      </c>
    </row>
    <row r="26" ht="16" customHeight="1">
      <c r="A26" s="11" t="inlineStr">
        <is>
          <t>86884</t>
        </is>
      </c>
      <c r="B26" s="12" t="inlineStr">
        <is>
          <t>Remoção manual de vegetação daninha</t>
        </is>
      </c>
      <c r="C26" s="13" t="inlineStr">
        <is>
          <t>M²</t>
        </is>
      </c>
      <c r="D26" s="16" t="n">
        <v>1440400</v>
      </c>
      <c r="E26" s="15" t="n">
        <v>7576.5</v>
      </c>
      <c r="F26" s="16" t="n">
        <v>0</v>
      </c>
      <c r="G26" s="17" t="n">
        <v>0</v>
      </c>
      <c r="H26" s="15" t="n">
        <v>0</v>
      </c>
      <c r="I26" s="15" t="n">
        <v>0</v>
      </c>
      <c r="J26" s="15">
        <f>H26+I26</f>
        <v/>
      </c>
      <c r="K26" s="17">
        <f>J26/E26</f>
        <v/>
      </c>
    </row>
    <row r="27" ht="28" customHeight="1">
      <c r="A27" s="18" t="inlineStr">
        <is>
          <t>91982</t>
        </is>
      </c>
      <c r="B27" s="19" t="inlineStr">
        <is>
          <t>Recomposição de guarda-corpo com agregados comerciais — instalação</t>
        </is>
      </c>
      <c r="C27" s="20" t="inlineStr">
        <is>
          <t>M</t>
        </is>
      </c>
      <c r="D27" s="21" t="n">
        <v>246000</v>
      </c>
      <c r="E27" s="22" t="n">
        <v>31716.78</v>
      </c>
      <c r="F27" s="21" t="n">
        <v>76000</v>
      </c>
      <c r="G27" s="23" t="n">
        <v>0.3089</v>
      </c>
      <c r="H27" s="22" t="n">
        <v>9798.68</v>
      </c>
      <c r="I27" s="22" t="n">
        <v>975.9400000000001</v>
      </c>
      <c r="J27" s="24">
        <f>H27+I27</f>
        <v/>
      </c>
      <c r="K27" s="23">
        <f>J27/E27</f>
        <v/>
      </c>
    </row>
    <row r="28" ht="28" customHeight="1">
      <c r="A28" s="11" t="inlineStr">
        <is>
          <t>92940</t>
        </is>
      </c>
      <c r="B28" s="12" t="inlineStr">
        <is>
          <t>Argamassa para reparos e grauteamento — confecção em misturador e lançamento manual</t>
        </is>
      </c>
      <c r="C28" s="13" t="inlineStr">
        <is>
          <t>M³</t>
        </is>
      </c>
      <c r="D28" s="16" t="n">
        <v>60299</v>
      </c>
      <c r="E28" s="15" t="n">
        <v>199701.24</v>
      </c>
      <c r="F28" s="16" t="n">
        <v>0</v>
      </c>
      <c r="G28" s="17" t="n">
        <v>0</v>
      </c>
      <c r="H28" s="15" t="n">
        <v>0</v>
      </c>
      <c r="I28" s="15" t="n">
        <v>0</v>
      </c>
      <c r="J28" s="15">
        <f>H28+I28</f>
        <v/>
      </c>
      <c r="K28" s="17">
        <f>J28/E28</f>
        <v/>
      </c>
    </row>
    <row r="29" ht="42" customHeight="1">
      <c r="A29" s="18" t="inlineStr">
        <is>
          <t>92943</t>
        </is>
      </c>
      <c r="B29" s="19" t="inlineStr">
        <is>
          <t>Plataforma de trabalho em aço tubular apoiada no solo — altura de 6 a 8 m — utilização de 100 vezes — fornecimento, instalação e retirada</t>
        </is>
      </c>
      <c r="C29" s="20" t="inlineStr">
        <is>
          <t>M³</t>
        </is>
      </c>
      <c r="D29" s="21" t="n">
        <v>20306076</v>
      </c>
      <c r="E29" s="22" t="n">
        <v>250576.97</v>
      </c>
      <c r="F29" s="21" t="n">
        <v>7838100</v>
      </c>
      <c r="G29" s="23" t="n">
        <v>0.386</v>
      </c>
      <c r="H29" s="22" t="n">
        <v>96722.14</v>
      </c>
      <c r="I29" s="22" t="n">
        <v>1023.12</v>
      </c>
      <c r="J29" s="24">
        <f>H29+I29</f>
        <v/>
      </c>
      <c r="K29" s="23">
        <f>J29/E29</f>
        <v/>
      </c>
    </row>
    <row r="30" ht="28" customHeight="1">
      <c r="A30" s="11" t="inlineStr">
        <is>
          <t>92944</t>
        </is>
      </c>
      <c r="B30" s="12" t="inlineStr">
        <is>
          <t>Recomposição de dreno em tubo de aço galvanizado D=80 mm em OAE — fornecimento e instalação</t>
        </is>
      </c>
      <c r="C30" s="13" t="inlineStr">
        <is>
          <t>UN</t>
        </is>
      </c>
      <c r="D30" s="16" t="n">
        <v>0</v>
      </c>
      <c r="E30" s="15" t="n">
        <v>0</v>
      </c>
      <c r="F30" s="16" t="n">
        <v>0</v>
      </c>
      <c r="G30" s="17" t="n">
        <v>0</v>
      </c>
      <c r="H30" s="15" t="n">
        <v>0</v>
      </c>
      <c r="I30" s="28" t="n">
        <v>-0.01</v>
      </c>
      <c r="J30" s="29">
        <f>H30+I30</f>
        <v/>
      </c>
      <c r="K30" s="17" t="n">
        <v>0</v>
      </c>
    </row>
    <row r="31" ht="28" customHeight="1">
      <c r="A31" s="18" t="inlineStr">
        <is>
          <t>95165</t>
        </is>
      </c>
      <c r="B31" s="19" t="inlineStr">
        <is>
          <t>Fornecimento e aplicação de adesivo estrutural à base de resina epóxi</t>
        </is>
      </c>
      <c r="C31" s="20" t="inlineStr">
        <is>
          <t>KG</t>
        </is>
      </c>
      <c r="D31" s="21" t="n">
        <v>58360</v>
      </c>
      <c r="E31" s="22" t="n">
        <v>4437.69</v>
      </c>
      <c r="F31" s="21" t="n">
        <v>0</v>
      </c>
      <c r="G31" s="23" t="n">
        <v>0</v>
      </c>
      <c r="H31" s="22" t="n">
        <v>0</v>
      </c>
      <c r="I31" s="22" t="n">
        <v>0</v>
      </c>
      <c r="J31" s="22">
        <f>H31+I31</f>
        <v/>
      </c>
      <c r="K31" s="23">
        <f>J31/E31</f>
        <v/>
      </c>
    </row>
    <row r="32" ht="16" customHeight="1">
      <c r="A32" s="11" t="inlineStr">
        <is>
          <t>95938</t>
        </is>
      </c>
      <c r="B32" s="12" t="inlineStr">
        <is>
          <t>Apicoamento manual de concreto</t>
        </is>
      </c>
      <c r="C32" s="13" t="inlineStr">
        <is>
          <t>M²</t>
        </is>
      </c>
      <c r="D32" s="16" t="n">
        <v>583850</v>
      </c>
      <c r="E32" s="15" t="n">
        <v>13165.81</v>
      </c>
      <c r="F32" s="16" t="n">
        <v>0</v>
      </c>
      <c r="G32" s="17" t="n">
        <v>0</v>
      </c>
      <c r="H32" s="15" t="n">
        <v>0</v>
      </c>
      <c r="I32" s="15" t="n">
        <v>0</v>
      </c>
      <c r="J32" s="15">
        <f>H32+I32</f>
        <v/>
      </c>
      <c r="K32" s="17">
        <f>J32/E32</f>
        <v/>
      </c>
    </row>
    <row r="33" ht="42" customHeight="1">
      <c r="A33" s="18" t="inlineStr">
        <is>
          <t>97364</t>
        </is>
      </c>
      <c r="B33" s="19" t="inlineStr">
        <is>
          <t>Bico de perfuração para injeção de adesivo estrutural à base de resina epóxi — fornecimento, instalação e retirada</t>
        </is>
      </c>
      <c r="C33" s="20" t="inlineStr">
        <is>
          <t>UN</t>
        </is>
      </c>
      <c r="D33" s="21" t="n">
        <v>830000</v>
      </c>
      <c r="E33" s="22" t="n">
        <v>6947.1</v>
      </c>
      <c r="F33" s="21" t="n">
        <v>0</v>
      </c>
      <c r="G33" s="23" t="n">
        <v>0</v>
      </c>
      <c r="H33" s="22" t="n">
        <v>0</v>
      </c>
      <c r="I33" s="22" t="n">
        <v>0</v>
      </c>
      <c r="J33" s="22">
        <f>H33+I33</f>
        <v/>
      </c>
      <c r="K33" s="23">
        <f>J33/E33</f>
        <v/>
      </c>
    </row>
    <row r="34" ht="42" customHeight="1">
      <c r="A34" s="11" t="inlineStr">
        <is>
          <t>97365</t>
        </is>
      </c>
      <c r="B34" s="12" t="inlineStr">
        <is>
          <t>Selagem superficial de fissuras com adesivo estrutural à base de resina epóxi de alta viscosidade, inclusive limpeza superficial</t>
        </is>
      </c>
      <c r="C34" s="13" t="inlineStr">
        <is>
          <t>KG</t>
        </is>
      </c>
      <c r="D34" s="16" t="n">
        <v>11250</v>
      </c>
      <c r="E34" s="15" t="n">
        <v>791.55</v>
      </c>
      <c r="F34" s="16" t="n">
        <v>0</v>
      </c>
      <c r="G34" s="17" t="n">
        <v>0</v>
      </c>
      <c r="H34" s="15" t="n">
        <v>0</v>
      </c>
      <c r="I34" s="15" t="n">
        <v>0</v>
      </c>
      <c r="J34" s="15">
        <f>H34+I34</f>
        <v/>
      </c>
      <c r="K34" s="17">
        <f>J34/E34</f>
        <v/>
      </c>
    </row>
    <row r="35" ht="28" customHeight="1">
      <c r="A35" s="18" t="inlineStr">
        <is>
          <t>97472</t>
        </is>
      </c>
      <c r="B35" s="19" t="inlineStr">
        <is>
          <t>Concreto FCK=30 MPa — confecção em betoneira e lançamento manual — areia e brita comerciais</t>
        </is>
      </c>
      <c r="C35" s="20" t="inlineStr">
        <is>
          <t>M³</t>
        </is>
      </c>
      <c r="D35" s="21" t="n">
        <v>0</v>
      </c>
      <c r="E35" s="22" t="n">
        <v>0</v>
      </c>
      <c r="F35" s="21" t="n">
        <v>0</v>
      </c>
      <c r="G35" s="23" t="n">
        <v>0</v>
      </c>
      <c r="H35" s="22" t="n">
        <v>0</v>
      </c>
      <c r="I35" s="22" t="n">
        <v>0</v>
      </c>
      <c r="J35" s="22">
        <f>H35+I35</f>
        <v/>
      </c>
      <c r="K35" s="23" t="n">
        <v>0</v>
      </c>
    </row>
    <row r="36" ht="28" customHeight="1">
      <c r="A36" s="11" t="inlineStr">
        <is>
          <t>97473</t>
        </is>
      </c>
      <c r="B36" s="12" t="inlineStr">
        <is>
          <t>Concreto projetado via seca FCK=30 MPa aplicado em superfícies inclinadas e verticais</t>
        </is>
      </c>
      <c r="C36" s="13" t="inlineStr">
        <is>
          <t>M³</t>
        </is>
      </c>
      <c r="D36" s="16" t="n">
        <v>31400</v>
      </c>
      <c r="E36" s="15" t="n">
        <v>29751.5</v>
      </c>
      <c r="F36" s="16" t="n">
        <v>0</v>
      </c>
      <c r="G36" s="17" t="n">
        <v>0</v>
      </c>
      <c r="H36" s="15" t="n">
        <v>0</v>
      </c>
      <c r="I36" s="15" t="n">
        <v>0</v>
      </c>
      <c r="J36" s="15">
        <f>H36+I36</f>
        <v/>
      </c>
      <c r="K36" s="17">
        <f>J36/E36</f>
        <v/>
      </c>
    </row>
    <row r="37" ht="28" customHeight="1">
      <c r="A37" s="18" t="inlineStr">
        <is>
          <t>97474</t>
        </is>
      </c>
      <c r="B37" s="19" t="inlineStr">
        <is>
          <t>Concreto projetado via seca FCK=30 MPa aplicado em teto</t>
        </is>
      </c>
      <c r="C37" s="20" t="inlineStr">
        <is>
          <t>M³</t>
        </is>
      </c>
      <c r="D37" s="21" t="n">
        <v>51200</v>
      </c>
      <c r="E37" s="22" t="n">
        <v>72326.64999999999</v>
      </c>
      <c r="F37" s="21" t="n">
        <v>0</v>
      </c>
      <c r="G37" s="23" t="n">
        <v>0</v>
      </c>
      <c r="H37" s="22" t="n">
        <v>0</v>
      </c>
      <c r="I37" s="22" t="n">
        <v>0</v>
      </c>
      <c r="J37" s="22">
        <f>H37+I37</f>
        <v/>
      </c>
      <c r="K37" s="23">
        <f>J37/E37</f>
        <v/>
      </c>
    </row>
    <row r="38" ht="16" customHeight="1">
      <c r="A38" s="11" t="inlineStr">
        <is>
          <t>97477</t>
        </is>
      </c>
      <c r="B38" s="12" t="inlineStr">
        <is>
          <t>Perfuração em concreto com coroa diamantada — D=20 mm</t>
        </is>
      </c>
      <c r="C38" s="13" t="inlineStr">
        <is>
          <t>M</t>
        </is>
      </c>
      <c r="D38" s="16" t="n">
        <v>102000</v>
      </c>
      <c r="E38" s="15" t="n">
        <v>11730</v>
      </c>
      <c r="F38" s="16" t="n">
        <v>0</v>
      </c>
      <c r="G38" s="17" t="n">
        <v>0</v>
      </c>
      <c r="H38" s="15" t="n">
        <v>0</v>
      </c>
      <c r="I38" s="15" t="n">
        <v>0</v>
      </c>
      <c r="J38" s="15">
        <f>H38+I38</f>
        <v/>
      </c>
      <c r="K38" s="17">
        <f>J38/E38</f>
        <v/>
      </c>
    </row>
    <row r="39" ht="42" customHeight="1">
      <c r="A39" s="18" t="inlineStr">
        <is>
          <t>97479</t>
        </is>
      </c>
      <c r="B39" s="19" t="inlineStr">
        <is>
          <t>Pintura com tinta anticorrosiva à base de epóxi poliamida de dois componentes com pistola a ar comprimido, uma demão, espessura de até 150 µm</t>
        </is>
      </c>
      <c r="C39" s="20" t="inlineStr">
        <is>
          <t>M²</t>
        </is>
      </c>
      <c r="D39" s="21" t="n">
        <v>0</v>
      </c>
      <c r="E39" s="22" t="n">
        <v>0</v>
      </c>
      <c r="F39" s="21" t="n">
        <v>0</v>
      </c>
      <c r="G39" s="23" t="n">
        <v>0</v>
      </c>
      <c r="H39" s="22" t="n">
        <v>1417.9</v>
      </c>
      <c r="I39" s="22" t="n">
        <v>53.88</v>
      </c>
      <c r="J39" s="24">
        <f>H39+I39</f>
        <v/>
      </c>
      <c r="K39" s="23" t="n">
        <v>0</v>
      </c>
    </row>
    <row r="40" ht="42" customHeight="1">
      <c r="A40" s="11" t="inlineStr">
        <is>
          <t>97480</t>
        </is>
      </c>
      <c r="B40" s="12" t="inlineStr">
        <is>
          <t>Fôrmas de compensado plastificado 10 mm — uso geral — utilização de 3 vezes — confecção, instalação e retirada</t>
        </is>
      </c>
      <c r="C40" s="13" t="inlineStr">
        <is>
          <t>M²</t>
        </is>
      </c>
      <c r="D40" s="16" t="n">
        <v>0</v>
      </c>
      <c r="E40" s="15" t="n">
        <v>0</v>
      </c>
      <c r="F40" s="16" t="n">
        <v>0</v>
      </c>
      <c r="G40" s="17" t="n">
        <v>0</v>
      </c>
      <c r="H40" s="15" t="n">
        <v>4149.52</v>
      </c>
      <c r="I40" s="15" t="n">
        <v>157.68</v>
      </c>
      <c r="J40" s="27">
        <f>H40+I40</f>
        <v/>
      </c>
      <c r="K40" s="17" t="n">
        <v>0</v>
      </c>
    </row>
    <row r="41" ht="28" customHeight="1">
      <c r="A41" s="18" t="inlineStr">
        <is>
          <t>97482</t>
        </is>
      </c>
      <c r="B41" s="19" t="inlineStr">
        <is>
          <t>Limpeza em superfície de concreto com jateamento d'água sob pressão</t>
        </is>
      </c>
      <c r="C41" s="20" t="inlineStr">
        <is>
          <t>M²</t>
        </is>
      </c>
      <c r="D41" s="21" t="n">
        <v>0</v>
      </c>
      <c r="E41" s="22" t="n">
        <v>0</v>
      </c>
      <c r="F41" s="21" t="n">
        <v>0</v>
      </c>
      <c r="G41" s="23" t="n">
        <v>0</v>
      </c>
      <c r="H41" s="22" t="n">
        <v>170473.9</v>
      </c>
      <c r="I41" s="22" t="n">
        <v>7483.63</v>
      </c>
      <c r="J41" s="24">
        <f>H41+I41</f>
        <v/>
      </c>
      <c r="K41" s="23" t="n">
        <v>0</v>
      </c>
    </row>
    <row r="42" ht="28" customHeight="1">
      <c r="A42" s="11" t="inlineStr">
        <is>
          <t>97486</t>
        </is>
      </c>
      <c r="B42" s="12" t="inlineStr">
        <is>
          <t>Restauração de berços de apoio para junta de dilatação — fornecimento e instalação</t>
        </is>
      </c>
      <c r="C42" s="13" t="inlineStr">
        <is>
          <t>M</t>
        </is>
      </c>
      <c r="D42" s="16" t="n">
        <v>1746700</v>
      </c>
      <c r="E42" s="15" t="n">
        <v>2985284.97</v>
      </c>
      <c r="F42" s="16" t="n">
        <v>725550</v>
      </c>
      <c r="G42" s="17" t="n">
        <v>0.4154</v>
      </c>
      <c r="H42" s="15" t="n">
        <v>1240037.51</v>
      </c>
      <c r="I42" s="15" t="n">
        <v>31579.49</v>
      </c>
      <c r="J42" s="27">
        <f>H42+I42</f>
        <v/>
      </c>
      <c r="K42" s="17">
        <f>J42/E42</f>
        <v/>
      </c>
    </row>
    <row r="43" ht="28" customHeight="1">
      <c r="A43" s="18" t="inlineStr">
        <is>
          <t>97488</t>
        </is>
      </c>
      <c r="B43" s="19" t="inlineStr">
        <is>
          <t>Remoção de concreto com jateamento d'água sob alta pressão</t>
        </is>
      </c>
      <c r="C43" s="20" t="inlineStr">
        <is>
          <t>M³</t>
        </is>
      </c>
      <c r="D43" s="21" t="n">
        <v>25780</v>
      </c>
      <c r="E43" s="22" t="n">
        <v>8518.48</v>
      </c>
      <c r="F43" s="21" t="n">
        <v>0</v>
      </c>
      <c r="G43" s="23" t="n">
        <v>0</v>
      </c>
      <c r="H43" s="22" t="n">
        <v>0</v>
      </c>
      <c r="I43" s="22" t="n">
        <v>0</v>
      </c>
      <c r="J43" s="22">
        <f>H43+I43</f>
        <v/>
      </c>
      <c r="K43" s="23">
        <f>J43/E43</f>
        <v/>
      </c>
    </row>
    <row r="44" ht="16" customHeight="1">
      <c r="A44" s="11" t="inlineStr">
        <is>
          <t>97489</t>
        </is>
      </c>
      <c r="B44" s="12" t="inlineStr">
        <is>
          <t>Demolição controlada de concreto com martelete</t>
        </is>
      </c>
      <c r="C44" s="13" t="inlineStr">
        <is>
          <t>M³</t>
        </is>
      </c>
      <c r="D44" s="16" t="n">
        <v>27750</v>
      </c>
      <c r="E44" s="15" t="n">
        <v>12926.22</v>
      </c>
      <c r="F44" s="16" t="n">
        <v>984</v>
      </c>
      <c r="G44" s="17" t="n">
        <v>0.0355</v>
      </c>
      <c r="H44" s="15" t="n">
        <v>458.35</v>
      </c>
      <c r="I44" s="15" t="n">
        <v>17.41</v>
      </c>
      <c r="J44" s="27">
        <f>H44+I44</f>
        <v/>
      </c>
      <c r="K44" s="17">
        <f>J44/E44</f>
        <v/>
      </c>
    </row>
    <row r="45" ht="28" customHeight="1">
      <c r="A45" s="18" t="inlineStr">
        <is>
          <t>97492</t>
        </is>
      </c>
      <c r="B45" s="19" t="inlineStr">
        <is>
          <t>Limpeza e remoção manual de material retido em terra firme em OAE</t>
        </is>
      </c>
      <c r="C45" s="20" t="inlineStr">
        <is>
          <t>M³</t>
        </is>
      </c>
      <c r="D45" s="21" t="n">
        <v>96200</v>
      </c>
      <c r="E45" s="22" t="n">
        <v>2533.9</v>
      </c>
      <c r="F45" s="21" t="n">
        <v>0</v>
      </c>
      <c r="G45" s="23" t="n">
        <v>0</v>
      </c>
      <c r="H45" s="22" t="n">
        <v>0</v>
      </c>
      <c r="I45" s="22" t="n">
        <v>0</v>
      </c>
      <c r="J45" s="22">
        <f>H45+I45</f>
        <v/>
      </c>
      <c r="K45" s="23">
        <f>J45/E45</f>
        <v/>
      </c>
    </row>
    <row r="46" ht="56" customHeight="1">
      <c r="A46" s="11" t="inlineStr">
        <is>
          <t>97493</t>
        </is>
      </c>
      <c r="B46" s="12" t="inlineStr">
        <is>
          <t>Injeção de adesivo estrutural à base de resina epóxi de baixa viscosidade para tratamento de fissuras em estruturas de concreto — fornecimento e aplicação mecanizada</t>
        </is>
      </c>
      <c r="C46" s="13" t="inlineStr">
        <is>
          <t>KG</t>
        </is>
      </c>
      <c r="D46" s="16" t="n">
        <v>59500</v>
      </c>
      <c r="E46" s="15" t="n">
        <v>14925.57</v>
      </c>
      <c r="F46" s="16" t="n">
        <v>0</v>
      </c>
      <c r="G46" s="17" t="n">
        <v>0</v>
      </c>
      <c r="H46" s="15" t="n">
        <v>0</v>
      </c>
      <c r="I46" s="15" t="n">
        <v>0</v>
      </c>
      <c r="J46" s="15">
        <f>H46+I46</f>
        <v/>
      </c>
      <c r="K46" s="17">
        <f>J46/E46</f>
        <v/>
      </c>
    </row>
    <row r="47" ht="42" customHeight="1">
      <c r="A47" s="18" t="inlineStr">
        <is>
          <t>97799</t>
        </is>
      </c>
      <c r="B47" s="19" t="inlineStr">
        <is>
          <t>Plataforma de trabalho em aço tubular apoiada no solo — altura de 4 a 6 m — utilização de 100 vezes — fornecimento, instalação e retirada</t>
        </is>
      </c>
      <c r="C47" s="20" t="inlineStr">
        <is>
          <t>M³</t>
        </is>
      </c>
      <c r="D47" s="21" t="n">
        <v>0</v>
      </c>
      <c r="E47" s="22" t="n">
        <v>0</v>
      </c>
      <c r="F47" s="21" t="n">
        <v>0</v>
      </c>
      <c r="G47" s="23" t="n">
        <v>0</v>
      </c>
      <c r="H47" s="22" t="n">
        <v>837279.97</v>
      </c>
      <c r="I47" s="22" t="n">
        <v>8467.93</v>
      </c>
      <c r="J47" s="24">
        <f>H47+I47</f>
        <v/>
      </c>
      <c r="K47" s="23" t="n">
        <v>0</v>
      </c>
    </row>
    <row r="48" ht="28" customHeight="1">
      <c r="A48" s="11" t="inlineStr">
        <is>
          <t>97804</t>
        </is>
      </c>
      <c r="B48" s="12" t="inlineStr">
        <is>
          <t>Armação em aço CA/50 — fornecimento, preparo e colocação</t>
        </is>
      </c>
      <c r="C48" s="13" t="inlineStr">
        <is>
          <t>KG</t>
        </is>
      </c>
      <c r="D48" s="16" t="n">
        <v>3235100</v>
      </c>
      <c r="E48" s="15" t="n">
        <v>44191.46</v>
      </c>
      <c r="F48" s="16" t="n">
        <v>0</v>
      </c>
      <c r="G48" s="17" t="n">
        <v>0</v>
      </c>
      <c r="H48" s="15" t="n">
        <v>0</v>
      </c>
      <c r="I48" s="15" t="n">
        <v>0</v>
      </c>
      <c r="J48" s="15">
        <f>H48+I48</f>
        <v/>
      </c>
      <c r="K48" s="17">
        <f>J48/E48</f>
        <v/>
      </c>
    </row>
    <row r="49" ht="28" customHeight="1">
      <c r="A49" s="18" t="inlineStr">
        <is>
          <t>97895</t>
        </is>
      </c>
      <c r="B49" s="19" t="inlineStr">
        <is>
          <t>Limpeza de aparelhos de apoio em obras de arte especiais — exclusa a plataforma</t>
        </is>
      </c>
      <c r="C49" s="20" t="inlineStr">
        <is>
          <t>UND</t>
        </is>
      </c>
      <c r="D49" s="21" t="n">
        <v>809000</v>
      </c>
      <c r="E49" s="22" t="n">
        <v>80034.37</v>
      </c>
      <c r="F49" s="21" t="n">
        <v>644000</v>
      </c>
      <c r="G49" s="23" t="n">
        <v>0.7959999999999999</v>
      </c>
      <c r="H49" s="22" t="n">
        <v>63710.92</v>
      </c>
      <c r="I49" s="22" t="n">
        <v>971.0599999999999</v>
      </c>
      <c r="J49" s="24">
        <f>H49+I49</f>
        <v/>
      </c>
      <c r="K49" s="23">
        <f>J49/E49</f>
        <v/>
      </c>
    </row>
    <row r="50" ht="42" customHeight="1">
      <c r="A50" s="11" t="inlineStr">
        <is>
          <t>99278</t>
        </is>
      </c>
      <c r="B50" s="12" t="inlineStr">
        <is>
          <t>Fôrma metálica curva em chapa 3/16" reforçada com nervuras de 40 mm x 3/16" — utilização de 100 vezes — confecção, instalação e retirada</t>
        </is>
      </c>
      <c r="C50" s="13" t="inlineStr">
        <is>
          <t>M²</t>
        </is>
      </c>
      <c r="D50" s="16" t="n">
        <v>8000</v>
      </c>
      <c r="E50" s="15" t="n">
        <v>171.76</v>
      </c>
      <c r="F50" s="16" t="n">
        <v>0</v>
      </c>
      <c r="G50" s="17" t="n">
        <v>0</v>
      </c>
      <c r="H50" s="15" t="n">
        <v>0</v>
      </c>
      <c r="I50" s="15" t="n">
        <v>0</v>
      </c>
      <c r="J50" s="15">
        <f>H50+I50</f>
        <v/>
      </c>
      <c r="K50" s="17">
        <f>J50/E50</f>
        <v/>
      </c>
    </row>
    <row r="51" ht="42" customHeight="1">
      <c r="A51" s="18" t="inlineStr">
        <is>
          <t>99279</t>
        </is>
      </c>
      <c r="B51" s="19" t="inlineStr">
        <is>
          <t>Pingadeira de elastômero perfil 40 x 40 mm com aba inclinada e fixada com adesivo estrutural e pinos — fornecimento e instalação — exclusa a plataforma</t>
        </is>
      </c>
      <c r="C51" s="20" t="inlineStr">
        <is>
          <t>M</t>
        </is>
      </c>
      <c r="D51" s="21" t="n">
        <v>0</v>
      </c>
      <c r="E51" s="22" t="n">
        <v>0</v>
      </c>
      <c r="F51" s="21" t="n">
        <v>0</v>
      </c>
      <c r="G51" s="23" t="n">
        <v>0</v>
      </c>
      <c r="H51" s="22" t="n">
        <v>1068970</v>
      </c>
      <c r="I51" s="22" t="n">
        <v>44488.04</v>
      </c>
      <c r="J51" s="24">
        <f>H51+I51</f>
        <v/>
      </c>
      <c r="K51" s="23" t="n">
        <v>0</v>
      </c>
    </row>
    <row r="52" ht="42" customHeight="1">
      <c r="A52" s="11" t="inlineStr">
        <is>
          <t>99280</t>
        </is>
      </c>
      <c r="B52" s="12" t="inlineStr">
        <is>
          <t>Plataforma de trabalho suspensa sob tabuleiro de pontes com treliças metálicas e tábuas — utilização de 100 vezes — confecção, instalação e retirada</t>
        </is>
      </c>
      <c r="C52" s="13" t="inlineStr">
        <is>
          <t>M²</t>
        </is>
      </c>
      <c r="D52" s="16" t="n">
        <v>0</v>
      </c>
      <c r="E52" s="15" t="n">
        <v>0</v>
      </c>
      <c r="F52" s="16" t="n">
        <v>0</v>
      </c>
      <c r="G52" s="17" t="n">
        <v>0</v>
      </c>
      <c r="H52" s="15" t="n">
        <v>1060801.72</v>
      </c>
      <c r="I52" s="15" t="n">
        <v>12303.97</v>
      </c>
      <c r="J52" s="27">
        <f>H52+I52</f>
        <v/>
      </c>
      <c r="K52" s="17" t="n">
        <v>0</v>
      </c>
    </row>
    <row r="53" ht="28" customHeight="1">
      <c r="A53" s="18" t="inlineStr">
        <is>
          <t>99281</t>
        </is>
      </c>
      <c r="B53" s="19" t="inlineStr">
        <is>
          <t>Recomposição de dreno em tubo de aço galvanizado D=100 mm em OAE — fornecimento e instalação</t>
        </is>
      </c>
      <c r="C53" s="20" t="inlineStr">
        <is>
          <t>UND</t>
        </is>
      </c>
      <c r="D53" s="21" t="n">
        <v>0</v>
      </c>
      <c r="E53" s="22" t="n">
        <v>0</v>
      </c>
      <c r="F53" s="21" t="n">
        <v>0</v>
      </c>
      <c r="G53" s="23" t="n">
        <v>0</v>
      </c>
      <c r="H53" s="22" t="n">
        <v>14594.28</v>
      </c>
      <c r="I53" s="22" t="n">
        <v>154.18</v>
      </c>
      <c r="J53" s="24">
        <f>H53+I53</f>
        <v/>
      </c>
      <c r="K53" s="23" t="n">
        <v>0</v>
      </c>
    </row>
    <row r="54" ht="16" customHeight="1">
      <c r="A54" s="11" t="inlineStr">
        <is>
          <t>395000</t>
        </is>
      </c>
      <c r="B54" s="12" t="inlineStr">
        <is>
          <t>Limpeza de ponte</t>
        </is>
      </c>
      <c r="C54" s="13" t="inlineStr">
        <is>
          <t>M</t>
        </is>
      </c>
      <c r="D54" s="16" t="n">
        <v>4780230</v>
      </c>
      <c r="E54" s="15" t="n">
        <v>25144</v>
      </c>
      <c r="F54" s="16" t="n">
        <v>2907180</v>
      </c>
      <c r="G54" s="17" t="n">
        <v>0.6082</v>
      </c>
      <c r="H54" s="15" t="n">
        <v>15291.74</v>
      </c>
      <c r="I54" s="15" t="n">
        <v>1167.92</v>
      </c>
      <c r="J54" s="27">
        <f>H54+I54</f>
        <v/>
      </c>
      <c r="K54" s="17">
        <f>J54/E54</f>
        <v/>
      </c>
    </row>
    <row r="55" ht="16" customHeight="1">
      <c r="A55" s="18" t="inlineStr">
        <is>
          <t>890000</t>
        </is>
      </c>
      <c r="B55" s="19" t="inlineStr">
        <is>
          <t>Roçada manual</t>
        </is>
      </c>
      <c r="C55" s="20" t="inlineStr">
        <is>
          <t>HA</t>
        </is>
      </c>
      <c r="D55" s="30" t="n">
        <v>0.712</v>
      </c>
      <c r="E55" s="22" t="n">
        <v>1579.55</v>
      </c>
      <c r="F55" s="21" t="n">
        <v>0</v>
      </c>
      <c r="G55" s="23" t="n">
        <v>0</v>
      </c>
      <c r="H55" s="22" t="n">
        <v>0</v>
      </c>
      <c r="I55" s="22" t="n">
        <v>0</v>
      </c>
      <c r="J55" s="22">
        <f>H55+I55</f>
        <v/>
      </c>
      <c r="K55" s="23">
        <f>J55/E55</f>
        <v/>
      </c>
    </row>
    <row r="56" ht="22" customHeight="1">
      <c r="A56" s="31" t="inlineStr">
        <is>
          <t>Subtotal 1.0</t>
        </is>
      </c>
      <c r="B56" s="32" t="n"/>
      <c r="C56" s="32" t="n"/>
      <c r="D56" s="32" t="n"/>
      <c r="E56" s="33">
        <f>SUM(E16:E55)</f>
        <v/>
      </c>
      <c r="F56" s="34" t="n"/>
      <c r="G56" s="34" t="n"/>
      <c r="H56" s="33">
        <f>SUM(H16:H55)</f>
        <v/>
      </c>
      <c r="I56" s="33">
        <f>SUM(I16:I55)</f>
        <v/>
      </c>
      <c r="J56" s="33">
        <f>SUM(J16:J55)</f>
        <v/>
      </c>
      <c r="K56" s="35">
        <f>IF(E56=0,0,J56/E56)</f>
        <v/>
      </c>
    </row>
    <row r="57" ht="22" customHeight="1">
      <c r="A57" s="10" t="inlineStr">
        <is>
          <t>1.1 — SERVIÇOS DE MANUTENÇÃO — PREÇO COM DESCONTO P/REEQUILÍBRIO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 ht="28" customHeight="1">
      <c r="A58" s="11" t="inlineStr">
        <is>
          <t>11983</t>
        </is>
      </c>
      <c r="B58" s="12" t="inlineStr">
        <is>
          <t>Contenção em areia-cimento ensacada com mistura de areia com 8% de cimento — confecção e assentamento</t>
        </is>
      </c>
      <c r="C58" s="13" t="inlineStr">
        <is>
          <t>M³</t>
        </is>
      </c>
      <c r="D58" s="16" t="n">
        <v>20000</v>
      </c>
      <c r="E58" s="15" t="n">
        <v>8737</v>
      </c>
      <c r="F58" s="16" t="n">
        <v>0</v>
      </c>
      <c r="G58" s="17" t="n">
        <v>0</v>
      </c>
      <c r="H58" s="15" t="n">
        <v>0</v>
      </c>
      <c r="I58" s="15" t="n">
        <v>0</v>
      </c>
      <c r="J58" s="15">
        <f>H58+I58</f>
        <v/>
      </c>
      <c r="K58" s="17">
        <f>J58/E58</f>
        <v/>
      </c>
    </row>
    <row r="59" ht="28" customHeight="1">
      <c r="A59" s="18" t="inlineStr">
        <is>
          <t>49946</t>
        </is>
      </c>
      <c r="B59" s="19" t="inlineStr">
        <is>
          <t>Pedra argamassada com cimento e areia 1:3 — areia e pedra de mão comercial — fornecimento e assentamento</t>
        </is>
      </c>
      <c r="C59" s="20" t="inlineStr">
        <is>
          <t>M³</t>
        </is>
      </c>
      <c r="D59" s="21" t="n">
        <v>270000</v>
      </c>
      <c r="E59" s="22" t="n">
        <v>98693.10000000001</v>
      </c>
      <c r="F59" s="21" t="n">
        <v>120000</v>
      </c>
      <c r="G59" s="23" t="n">
        <v>0.4444</v>
      </c>
      <c r="H59" s="22" t="n">
        <v>43863.6</v>
      </c>
      <c r="I59" s="22" t="n">
        <v>1666.81</v>
      </c>
      <c r="J59" s="24">
        <f>H59+I59</f>
        <v/>
      </c>
      <c r="K59" s="23">
        <f>J59/E59</f>
        <v/>
      </c>
    </row>
    <row r="60" ht="28" customHeight="1">
      <c r="A60" s="11" t="inlineStr">
        <is>
          <t>50281</t>
        </is>
      </c>
      <c r="B60" s="12" t="inlineStr">
        <is>
          <t>Recomposição de erosão em corte ou aterro com material de jazida</t>
        </is>
      </c>
      <c r="C60" s="13" t="inlineStr">
        <is>
          <t>M³</t>
        </is>
      </c>
      <c r="D60" s="16" t="n">
        <v>75000</v>
      </c>
      <c r="E60" s="15" t="n">
        <v>1620.75</v>
      </c>
      <c r="F60" s="16" t="n">
        <v>0</v>
      </c>
      <c r="G60" s="17" t="n">
        <v>0</v>
      </c>
      <c r="H60" s="15" t="n">
        <v>0</v>
      </c>
      <c r="I60" s="15" t="n">
        <v>0</v>
      </c>
      <c r="J60" s="15">
        <f>H60+I60</f>
        <v/>
      </c>
      <c r="K60" s="17">
        <f>J60/E60</f>
        <v/>
      </c>
    </row>
    <row r="61" ht="16" customHeight="1">
      <c r="A61" s="18" t="inlineStr">
        <is>
          <t>51114</t>
        </is>
      </c>
      <c r="B61" s="19" t="inlineStr">
        <is>
          <t>Pintura manual com nata de cimento — 3 demãos</t>
        </is>
      </c>
      <c r="C61" s="20" t="inlineStr">
        <is>
          <t>M²</t>
        </is>
      </c>
      <c r="D61" s="21" t="n">
        <v>180214190</v>
      </c>
      <c r="E61" s="22" t="n">
        <v>944322.35</v>
      </c>
      <c r="F61" s="21" t="n">
        <v>124552502</v>
      </c>
      <c r="G61" s="23" t="n">
        <v>0.6911</v>
      </c>
      <c r="H61" s="22" t="n">
        <v>652655.09</v>
      </c>
      <c r="I61" s="22" t="n">
        <v>69427.5</v>
      </c>
      <c r="J61" s="24">
        <f>H61+I61</f>
        <v/>
      </c>
      <c r="K61" s="23">
        <f>J61/E61</f>
        <v/>
      </c>
    </row>
    <row r="62" ht="42" customHeight="1">
      <c r="A62" s="11" t="inlineStr">
        <is>
          <t>92942</t>
        </is>
      </c>
      <c r="B62" s="12" t="inlineStr">
        <is>
          <t>Plataforma de trabalho em aço tubular apoiada no solo — altura de até 4 m — utilização de 100 vezes — fornecimento, instalação e retirada</t>
        </is>
      </c>
      <c r="C62" s="13" t="inlineStr">
        <is>
          <t>M³</t>
        </is>
      </c>
      <c r="D62" s="16" t="n">
        <v>1206000</v>
      </c>
      <c r="E62" s="15" t="n">
        <v>45622.98</v>
      </c>
      <c r="F62" s="16" t="n">
        <v>0</v>
      </c>
      <c r="G62" s="17" t="n">
        <v>0</v>
      </c>
      <c r="H62" s="15" t="n">
        <v>0</v>
      </c>
      <c r="I62" s="15" t="n">
        <v>0</v>
      </c>
      <c r="J62" s="15">
        <f>H62+I62</f>
        <v/>
      </c>
      <c r="K62" s="17">
        <f>J62/E62</f>
        <v/>
      </c>
    </row>
    <row r="63" ht="28" customHeight="1">
      <c r="A63" s="18" t="inlineStr">
        <is>
          <t>92944</t>
        </is>
      </c>
      <c r="B63" s="19" t="inlineStr">
        <is>
          <t>Recomposição de dreno em tubo de aço galvanizado D=80 mm em OAE — fornecimento e instalação</t>
        </is>
      </c>
      <c r="C63" s="20" t="inlineStr">
        <is>
          <t>UN</t>
        </is>
      </c>
      <c r="D63" s="21" t="n">
        <v>2592000</v>
      </c>
      <c r="E63" s="22" t="n">
        <v>219386.88</v>
      </c>
      <c r="F63" s="21" t="n">
        <v>32000</v>
      </c>
      <c r="G63" s="23" t="n">
        <v>0.0123</v>
      </c>
      <c r="H63" s="22" t="n">
        <v>2708.48</v>
      </c>
      <c r="I63" s="22" t="n">
        <v>31.95</v>
      </c>
      <c r="J63" s="24">
        <f>H63+I63</f>
        <v/>
      </c>
      <c r="K63" s="23">
        <f>J63/E63</f>
        <v/>
      </c>
    </row>
    <row r="64" ht="28" customHeight="1">
      <c r="A64" s="11" t="inlineStr">
        <is>
          <t>97472</t>
        </is>
      </c>
      <c r="B64" s="12" t="inlineStr">
        <is>
          <t>Concreto FCK=30 MPa — confecção em betoneira e lançamento manual — areia e brita comerciais</t>
        </is>
      </c>
      <c r="C64" s="13" t="inlineStr">
        <is>
          <t>M³</t>
        </is>
      </c>
      <c r="D64" s="16" t="n">
        <v>72364</v>
      </c>
      <c r="E64" s="15" t="n">
        <v>31020.27</v>
      </c>
      <c r="F64" s="16" t="n">
        <v>3444</v>
      </c>
      <c r="G64" s="17" t="n">
        <v>0.0476</v>
      </c>
      <c r="H64" s="15" t="n">
        <v>1476.33</v>
      </c>
      <c r="I64" s="15" t="n">
        <v>56.1</v>
      </c>
      <c r="J64" s="27">
        <f>H64+I64</f>
        <v/>
      </c>
      <c r="K64" s="17">
        <f>J64/E64</f>
        <v/>
      </c>
    </row>
    <row r="65" ht="42" customHeight="1">
      <c r="A65" s="18" t="inlineStr">
        <is>
          <t>97479</t>
        </is>
      </c>
      <c r="B65" s="19" t="inlineStr">
        <is>
          <t>Pintura com tinta anticorrosiva à base de epóxi poliamida de dois componentes — pistola a ar comprimido, uma demão, espessura de até 150 µm</t>
        </is>
      </c>
      <c r="C65" s="20" t="inlineStr">
        <is>
          <t>M²</t>
        </is>
      </c>
      <c r="D65" s="21" t="n">
        <v>332850</v>
      </c>
      <c r="E65" s="22" t="n">
        <v>4290.43</v>
      </c>
      <c r="F65" s="21" t="n">
        <v>110000</v>
      </c>
      <c r="G65" s="23" t="n">
        <v>0.3305</v>
      </c>
      <c r="H65" s="22" t="n">
        <v>1417.9</v>
      </c>
      <c r="I65" s="22" t="n">
        <v>53.88</v>
      </c>
      <c r="J65" s="24">
        <f>H65+I65</f>
        <v/>
      </c>
      <c r="K65" s="23">
        <f>J65/E65</f>
        <v/>
      </c>
    </row>
    <row r="66" ht="42" customHeight="1">
      <c r="A66" s="11" t="inlineStr">
        <is>
          <t>97480</t>
        </is>
      </c>
      <c r="B66" s="12" t="inlineStr">
        <is>
          <t>Fôrmas de compensado plastificado 10 mm — uso geral — utilização de 3 vezes — confecção, instalação e retirada</t>
        </is>
      </c>
      <c r="C66" s="13" t="inlineStr">
        <is>
          <t>M²</t>
        </is>
      </c>
      <c r="D66" s="16" t="n">
        <v>485160</v>
      </c>
      <c r="E66" s="15" t="n">
        <v>40918.39</v>
      </c>
      <c r="F66" s="16" t="n">
        <v>49200</v>
      </c>
      <c r="G66" s="17" t="n">
        <v>0.1014</v>
      </c>
      <c r="H66" s="15" t="n">
        <v>4149.52</v>
      </c>
      <c r="I66" s="15" t="n">
        <v>157.68</v>
      </c>
      <c r="J66" s="27">
        <f>H66+I66</f>
        <v/>
      </c>
      <c r="K66" s="17">
        <f>J66/E66</f>
        <v/>
      </c>
    </row>
    <row r="67" ht="28" customHeight="1">
      <c r="A67" s="18" t="inlineStr">
        <is>
          <t>97482</t>
        </is>
      </c>
      <c r="B67" s="19" t="inlineStr">
        <is>
          <t>Limpeza em superfície de concreto com jateamento d'água sob pressão</t>
        </is>
      </c>
      <c r="C67" s="20" t="inlineStr">
        <is>
          <t>M²</t>
        </is>
      </c>
      <c r="D67" s="21" t="n">
        <v>179768830</v>
      </c>
      <c r="E67" s="22" t="n">
        <v>267855.55</v>
      </c>
      <c r="F67" s="21" t="n">
        <v>114412039</v>
      </c>
      <c r="G67" s="23" t="n">
        <v>0.6364</v>
      </c>
      <c r="H67" s="22" t="n">
        <v>170473.9</v>
      </c>
      <c r="I67" s="22" t="n">
        <v>7483.63</v>
      </c>
      <c r="J67" s="24">
        <f>H67+I67</f>
        <v/>
      </c>
      <c r="K67" s="23">
        <f>J67/E67</f>
        <v/>
      </c>
    </row>
    <row r="68" ht="42" customHeight="1">
      <c r="A68" s="11" t="inlineStr">
        <is>
          <t>97799</t>
        </is>
      </c>
      <c r="B68" s="12" t="inlineStr">
        <is>
          <t>Plataforma de trabalho em aço tubular apoiada no solo — altura de 4 a 6 m — utilização de 100 vezes — fornecimento, instalação e retirada</t>
        </is>
      </c>
      <c r="C68" s="13" t="inlineStr">
        <is>
          <t>M³</t>
        </is>
      </c>
      <c r="D68" s="16" t="n">
        <v>54463210</v>
      </c>
      <c r="E68" s="15" t="n">
        <v>1070746.7</v>
      </c>
      <c r="F68" s="16" t="n">
        <v>42587996</v>
      </c>
      <c r="G68" s="17" t="n">
        <v>0.782</v>
      </c>
      <c r="H68" s="15" t="n">
        <v>837279.97</v>
      </c>
      <c r="I68" s="15" t="n">
        <v>8467.93</v>
      </c>
      <c r="J68" s="27">
        <f>H68+I68</f>
        <v/>
      </c>
      <c r="K68" s="17">
        <f>J68/E68</f>
        <v/>
      </c>
    </row>
    <row r="69" ht="42" customHeight="1">
      <c r="A69" s="18" t="inlineStr">
        <is>
          <t>99279</t>
        </is>
      </c>
      <c r="B69" s="19" t="inlineStr">
        <is>
          <t>Pingadeira de elastômero perfil 40 x 40 mm com aba inclinada e fixada com adesivo estrutural e pinos — fornecimento e instalação — exclusa a plataforma</t>
        </is>
      </c>
      <c r="C69" s="20" t="inlineStr">
        <is>
          <t>M</t>
        </is>
      </c>
      <c r="D69" s="21" t="n">
        <v>8390560</v>
      </c>
      <c r="E69" s="22" t="n">
        <v>1575914.97</v>
      </c>
      <c r="F69" s="21" t="n">
        <v>5691460</v>
      </c>
      <c r="G69" s="23" t="n">
        <v>0.6783</v>
      </c>
      <c r="H69" s="22" t="n">
        <v>1068970</v>
      </c>
      <c r="I69" s="22" t="n">
        <v>44488.04</v>
      </c>
      <c r="J69" s="24">
        <f>H69+I69</f>
        <v/>
      </c>
      <c r="K69" s="23">
        <f>J69/E69</f>
        <v/>
      </c>
    </row>
    <row r="70" ht="42" customHeight="1">
      <c r="A70" s="11" t="inlineStr">
        <is>
          <t>99280</t>
        </is>
      </c>
      <c r="B70" s="12" t="inlineStr">
        <is>
          <t>Plataforma de trabalho suspensa sob tabuleiro de pontes com treliças metálicas e tábuas — utilização de 100 vezes — confecção, instalação e retirada</t>
        </is>
      </c>
      <c r="C70" s="13" t="inlineStr">
        <is>
          <t>M²</t>
        </is>
      </c>
      <c r="D70" s="16" t="n">
        <v>20360840</v>
      </c>
      <c r="E70" s="15" t="n">
        <v>1384333.51</v>
      </c>
      <c r="F70" s="16" t="n">
        <v>15602320</v>
      </c>
      <c r="G70" s="17" t="n">
        <v>0.7663</v>
      </c>
      <c r="H70" s="15" t="n">
        <v>1060801.72</v>
      </c>
      <c r="I70" s="15" t="n">
        <v>12303.97</v>
      </c>
      <c r="J70" s="27">
        <f>H70+I70</f>
        <v/>
      </c>
      <c r="K70" s="17">
        <f>J70/E70</f>
        <v/>
      </c>
    </row>
    <row r="71" ht="28" customHeight="1">
      <c r="A71" s="18" t="inlineStr">
        <is>
          <t>99281</t>
        </is>
      </c>
      <c r="B71" s="19" t="inlineStr">
        <is>
          <t>Recomposição de dreno em tubo de aço galvanizado D=100 mm em OAE — fornecimento e instalação</t>
        </is>
      </c>
      <c r="C71" s="20" t="inlineStr">
        <is>
          <t>UND</t>
        </is>
      </c>
      <c r="D71" s="21" t="n">
        <v>230000</v>
      </c>
      <c r="E71" s="22" t="n">
        <v>22680.3</v>
      </c>
      <c r="F71" s="21" t="n">
        <v>148000</v>
      </c>
      <c r="G71" s="23" t="n">
        <v>0.6435</v>
      </c>
      <c r="H71" s="22" t="n">
        <v>14594.28</v>
      </c>
      <c r="I71" s="22" t="n">
        <v>154.18</v>
      </c>
      <c r="J71" s="24">
        <f>H71+I71</f>
        <v/>
      </c>
      <c r="K71" s="23">
        <f>J71/E71</f>
        <v/>
      </c>
    </row>
    <row r="72" ht="22" customHeight="1">
      <c r="A72" s="31" t="inlineStr">
        <is>
          <t>Subtotal 1.1</t>
        </is>
      </c>
      <c r="B72" s="32" t="n"/>
      <c r="C72" s="32" t="n"/>
      <c r="D72" s="32" t="n"/>
      <c r="E72" s="33">
        <f>SUM(E58:E71)</f>
        <v/>
      </c>
      <c r="F72" s="34" t="n"/>
      <c r="G72" s="34" t="n"/>
      <c r="H72" s="33">
        <f>SUM(H58:H71)</f>
        <v/>
      </c>
      <c r="I72" s="33">
        <f>SUM(I58:I71)</f>
        <v/>
      </c>
      <c r="J72" s="33">
        <f>SUM(J58:J71)</f>
        <v/>
      </c>
      <c r="K72" s="35">
        <f>IF(E72=0,0,J72/E72)</f>
        <v/>
      </c>
    </row>
    <row r="73" ht="22" customHeight="1">
      <c r="A73" s="10" t="inlineStr">
        <is>
          <t>2.0 — SERVIÇOS PRELIMINARES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</row>
    <row r="74" ht="16" customHeight="1">
      <c r="A74" s="11" t="inlineStr">
        <is>
          <t>52231</t>
        </is>
      </c>
      <c r="B74" s="12" t="inlineStr">
        <is>
          <t>Custo de instalação de canteiro</t>
        </is>
      </c>
      <c r="C74" s="13" t="inlineStr">
        <is>
          <t>UN</t>
        </is>
      </c>
      <c r="D74" s="14" t="n">
        <v>1</v>
      </c>
      <c r="E74" s="15" t="n">
        <v>57077</v>
      </c>
      <c r="F74" s="14" t="n">
        <v>0.621</v>
      </c>
      <c r="G74" s="17" t="n">
        <v>0.621</v>
      </c>
      <c r="H74" s="15" t="n">
        <v>35444.74</v>
      </c>
      <c r="I74" s="15" t="n">
        <v>2629.84</v>
      </c>
      <c r="J74" s="27">
        <f>H74+I74</f>
        <v/>
      </c>
      <c r="K74" s="17">
        <f>J74/E74</f>
        <v/>
      </c>
    </row>
    <row r="75" ht="16" customHeight="1">
      <c r="A75" s="18" t="inlineStr">
        <is>
          <t>86617</t>
        </is>
      </c>
      <c r="B75" s="19" t="inlineStr">
        <is>
          <t>Mobilização e desmobilização de pessoal e equipamentos</t>
        </is>
      </c>
      <c r="C75" s="20" t="inlineStr">
        <is>
          <t>UN</t>
        </is>
      </c>
      <c r="D75" s="30" t="n">
        <v>1</v>
      </c>
      <c r="E75" s="22" t="n">
        <v>23419.51</v>
      </c>
      <c r="F75" s="30" t="n">
        <v>0.621</v>
      </c>
      <c r="G75" s="23" t="n">
        <v>0.621</v>
      </c>
      <c r="H75" s="22" t="n">
        <v>14543.43</v>
      </c>
      <c r="I75" s="25" t="n">
        <v>-430.79</v>
      </c>
      <c r="J75" s="24">
        <f>H75+I75</f>
        <v/>
      </c>
      <c r="K75" s="23">
        <f>J75/E75</f>
        <v/>
      </c>
    </row>
    <row r="76" ht="16" customHeight="1">
      <c r="A76" s="11" t="inlineStr">
        <is>
          <t>90197</t>
        </is>
      </c>
      <c r="B76" s="12" t="inlineStr">
        <is>
          <t>Administração local + manutenção do canteiro</t>
        </is>
      </c>
      <c r="C76" s="13" t="inlineStr">
        <is>
          <t>UND</t>
        </is>
      </c>
      <c r="D76" s="14" t="n">
        <v>1</v>
      </c>
      <c r="E76" s="15" t="n">
        <v>1480303</v>
      </c>
      <c r="F76" s="14" t="n">
        <v>0.621</v>
      </c>
      <c r="G76" s="17" t="n">
        <v>0.621</v>
      </c>
      <c r="H76" s="15" t="n">
        <v>919268.1</v>
      </c>
      <c r="I76" s="15" t="n">
        <v>67870.14999999999</v>
      </c>
      <c r="J76" s="27">
        <f>H76+I76</f>
        <v/>
      </c>
      <c r="K76" s="17">
        <f>J76/E76</f>
        <v/>
      </c>
    </row>
    <row r="77" ht="22" customHeight="1">
      <c r="A77" s="31" t="inlineStr">
        <is>
          <t>Subtotal 2.0</t>
        </is>
      </c>
      <c r="B77" s="32" t="n"/>
      <c r="C77" s="32" t="n"/>
      <c r="D77" s="32" t="n"/>
      <c r="E77" s="33">
        <f>SUM(E74:E76)</f>
        <v/>
      </c>
      <c r="F77" s="34" t="n"/>
      <c r="G77" s="34" t="n"/>
      <c r="H77" s="33">
        <f>SUM(H74:H76)</f>
        <v/>
      </c>
      <c r="I77" s="33">
        <f>SUM(I74:I76)</f>
        <v/>
      </c>
      <c r="J77" s="33">
        <f>SUM(J74:J76)</f>
        <v/>
      </c>
      <c r="K77" s="35">
        <f>IF(E77=0,0,J77/E77)</f>
        <v/>
      </c>
    </row>
    <row r="78" ht="22" customHeight="1">
      <c r="A78" s="10" t="inlineStr">
        <is>
          <t>3.0 — ESTORNO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 ht="16" customHeight="1">
      <c r="A79" s="11" t="inlineStr">
        <is>
          <t>9999862</t>
        </is>
      </c>
      <c r="B79" s="12" t="inlineStr">
        <is>
          <t>EST ISS REF AC 32/08-TCU-P</t>
        </is>
      </c>
      <c r="C79" s="13" t="inlineStr">
        <is>
          <t>R$</t>
        </is>
      </c>
      <c r="D79" s="16" t="n">
        <v>0</v>
      </c>
      <c r="E79" s="15" t="n">
        <v>0</v>
      </c>
      <c r="F79" s="16" t="n">
        <v>0</v>
      </c>
      <c r="G79" s="17" t="n">
        <v>0</v>
      </c>
      <c r="H79" s="15" t="n">
        <v>0</v>
      </c>
      <c r="I79" s="28" t="n">
        <v>-34718.02</v>
      </c>
      <c r="J79" s="29">
        <f>H79+I79</f>
        <v/>
      </c>
      <c r="K79" s="17" t="n">
        <v>0</v>
      </c>
    </row>
    <row r="80" ht="22" customHeight="1">
      <c r="A80" s="31" t="inlineStr">
        <is>
          <t>Subtotal 3.0</t>
        </is>
      </c>
      <c r="B80" s="32" t="n"/>
      <c r="C80" s="32" t="n"/>
      <c r="D80" s="32" t="n"/>
      <c r="E80" s="33">
        <f>SUM(E79:E79)</f>
        <v/>
      </c>
      <c r="F80" s="34" t="n"/>
      <c r="G80" s="34" t="n"/>
      <c r="H80" s="33">
        <f>SUM(H79:H79)</f>
        <v/>
      </c>
      <c r="I80" s="33">
        <f>SUM(I79:I79)</f>
        <v/>
      </c>
      <c r="J80" s="33">
        <f>SUM(J79:J79)</f>
        <v/>
      </c>
      <c r="K80" s="35">
        <f>IF(E80=0,0,J80/E80)</f>
        <v/>
      </c>
    </row>
    <row r="81" ht="22" customHeight="1">
      <c r="A81" s="10" t="inlineStr">
        <is>
          <t>4.0 — SINALIZAÇÃO DE OBRAS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 ht="28" customHeight="1">
      <c r="A82" s="11" t="inlineStr">
        <is>
          <t>49321</t>
        </is>
      </c>
      <c r="B82" s="12" t="inlineStr">
        <is>
          <t>Operação de sinalização por bandeirola de tecido ou com placa metálica</t>
        </is>
      </c>
      <c r="C82" s="13" t="inlineStr">
        <is>
          <t>H</t>
        </is>
      </c>
      <c r="D82" s="16" t="n">
        <v>1248000</v>
      </c>
      <c r="E82" s="15" t="n">
        <v>25896</v>
      </c>
      <c r="F82" s="16" t="n">
        <v>0</v>
      </c>
      <c r="G82" s="17" t="n">
        <v>0</v>
      </c>
      <c r="H82" s="15" t="n">
        <v>0</v>
      </c>
      <c r="I82" s="15" t="n">
        <v>0</v>
      </c>
      <c r="J82" s="15">
        <f>H82+I82</f>
        <v/>
      </c>
      <c r="K82" s="17">
        <f>J82/E82</f>
        <v/>
      </c>
    </row>
    <row r="83" ht="56" customHeight="1">
      <c r="A83" s="18" t="inlineStr">
        <is>
          <t>91397</t>
        </is>
      </c>
      <c r="B83" s="19" t="inlineStr">
        <is>
          <t>Placa de regulamentação para sinalização de obras montada em suporte metálico móvel, R1 lado 0,414 m — utilização de 600 ciclos — fornecimento, 01 implantação e 01 retirada diária</t>
        </is>
      </c>
      <c r="C83" s="20" t="inlineStr">
        <is>
          <t>UN/DIA</t>
        </is>
      </c>
      <c r="D83" s="21" t="n">
        <v>208000</v>
      </c>
      <c r="E83" s="22" t="n">
        <v>237.12</v>
      </c>
      <c r="F83" s="21" t="n">
        <v>0</v>
      </c>
      <c r="G83" s="23" t="n">
        <v>0</v>
      </c>
      <c r="H83" s="22" t="n">
        <v>0</v>
      </c>
      <c r="I83" s="22" t="n">
        <v>0</v>
      </c>
      <c r="J83" s="22">
        <f>H83+I83</f>
        <v/>
      </c>
      <c r="K83" s="23">
        <f>J83/E83</f>
        <v/>
      </c>
    </row>
    <row r="84" ht="42" customHeight="1">
      <c r="A84" s="11" t="inlineStr">
        <is>
          <t>91574</t>
        </is>
      </c>
      <c r="B84" s="12" t="inlineStr">
        <is>
          <t>Luz de advertência e bateria para dispositivos de sinalização — utilização de 200 ciclos — fornecimento, 01 implantação e 01 retirada diária</t>
        </is>
      </c>
      <c r="C84" s="13" t="inlineStr">
        <is>
          <t>UN/DIA</t>
        </is>
      </c>
      <c r="D84" s="16" t="n">
        <v>573000</v>
      </c>
      <c r="E84" s="15" t="n">
        <v>647.49</v>
      </c>
      <c r="F84" s="16" t="n">
        <v>0</v>
      </c>
      <c r="G84" s="17" t="n">
        <v>0</v>
      </c>
      <c r="H84" s="15" t="n">
        <v>0</v>
      </c>
      <c r="I84" s="15" t="n">
        <v>0</v>
      </c>
      <c r="J84" s="15">
        <f>H84+I84</f>
        <v/>
      </c>
      <c r="K84" s="17">
        <f>J84/E84</f>
        <v/>
      </c>
    </row>
    <row r="85" ht="56" customHeight="1">
      <c r="A85" s="18" t="inlineStr">
        <is>
          <t>92597</t>
        </is>
      </c>
      <c r="B85" s="19" t="inlineStr">
        <is>
          <t>Placa de regulamentação para sinalização de obras montada em suporte metálico móvel — D=1,00 m — utilização de 600 ciclos — fornecimento, 01 implantação e 01 retirada diária</t>
        </is>
      </c>
      <c r="C85" s="20" t="inlineStr">
        <is>
          <t>UN/DIA</t>
        </is>
      </c>
      <c r="D85" s="21" t="n">
        <v>732000</v>
      </c>
      <c r="E85" s="22" t="n">
        <v>812.52</v>
      </c>
      <c r="F85" s="21" t="n">
        <v>0</v>
      </c>
      <c r="G85" s="23" t="n">
        <v>0</v>
      </c>
      <c r="H85" s="22" t="n">
        <v>0</v>
      </c>
      <c r="I85" s="22" t="n">
        <v>0</v>
      </c>
      <c r="J85" s="22">
        <f>H85+I85</f>
        <v/>
      </c>
      <c r="K85" s="23">
        <f>J85/E85</f>
        <v/>
      </c>
    </row>
    <row r="86" ht="56" customHeight="1">
      <c r="A86" s="11" t="inlineStr">
        <is>
          <t>97567</t>
        </is>
      </c>
      <c r="B86" s="12" t="inlineStr">
        <is>
          <t>Placa para sinalização de obras montada em cavalete metálico — 1,00 x 1,00 m — utilização de 600 ciclos — fornecimento, 01 implantação e 01 retirada diária (trecho sem acostamento)</t>
        </is>
      </c>
      <c r="C86" s="13" t="inlineStr">
        <is>
          <t>UN/DIA</t>
        </is>
      </c>
      <c r="D86" s="16" t="n">
        <v>106000</v>
      </c>
      <c r="E86" s="15" t="n">
        <v>112.36</v>
      </c>
      <c r="F86" s="16" t="n">
        <v>0</v>
      </c>
      <c r="G86" s="17" t="n">
        <v>0</v>
      </c>
      <c r="H86" s="15" t="n">
        <v>0</v>
      </c>
      <c r="I86" s="15" t="n">
        <v>0</v>
      </c>
      <c r="J86" s="15">
        <f>H86+I86</f>
        <v/>
      </c>
      <c r="K86" s="17">
        <f>J86/E86</f>
        <v/>
      </c>
    </row>
    <row r="87" ht="42" customHeight="1">
      <c r="A87" s="18" t="inlineStr">
        <is>
          <t>99415</t>
        </is>
      </c>
      <c r="B87" s="19" t="inlineStr">
        <is>
          <t>Cone plástico para canalização de trânsito — utilização de 150 ciclos — fornecimento, 01 implantação e 01 retirada diária</t>
        </is>
      </c>
      <c r="C87" s="20" t="inlineStr">
        <is>
          <t>UN/DIA</t>
        </is>
      </c>
      <c r="D87" s="21" t="n">
        <v>515000</v>
      </c>
      <c r="E87" s="22" t="n">
        <v>355.35</v>
      </c>
      <c r="F87" s="21" t="n">
        <v>0</v>
      </c>
      <c r="G87" s="23" t="n">
        <v>0</v>
      </c>
      <c r="H87" s="22" t="n">
        <v>0</v>
      </c>
      <c r="I87" s="22" t="n">
        <v>0</v>
      </c>
      <c r="J87" s="22">
        <f>H87+I87</f>
        <v/>
      </c>
      <c r="K87" s="23">
        <f>J87/E87</f>
        <v/>
      </c>
    </row>
    <row r="88" ht="42" customHeight="1">
      <c r="A88" s="11" t="inlineStr">
        <is>
          <t>804485</t>
        </is>
      </c>
      <c r="B88" s="12" t="inlineStr">
        <is>
          <t>Cilindro canalizador de tráfego com base quadrada de 111 x 56 x 56 cm — utilização de 600 ciclos — fornecimento, 01 implantação e 01 retirada diária</t>
        </is>
      </c>
      <c r="C88" s="13" t="inlineStr">
        <is>
          <t>UN/DIA</t>
        </is>
      </c>
      <c r="D88" s="16" t="n">
        <v>58000</v>
      </c>
      <c r="E88" s="15" t="n">
        <v>161.24</v>
      </c>
      <c r="F88" s="16" t="n">
        <v>0</v>
      </c>
      <c r="G88" s="17" t="n">
        <v>0</v>
      </c>
      <c r="H88" s="15" t="n">
        <v>0</v>
      </c>
      <c r="I88" s="15" t="n">
        <v>0</v>
      </c>
      <c r="J88" s="15">
        <f>H88+I88</f>
        <v/>
      </c>
      <c r="K88" s="17">
        <f>J88/E88</f>
        <v/>
      </c>
    </row>
    <row r="89" ht="56" customHeight="1">
      <c r="A89" s="18" t="inlineStr">
        <is>
          <t>7200844</t>
        </is>
      </c>
      <c r="B89" s="19" t="inlineStr">
        <is>
          <t>5212560 — Placa de advertência para sinalização de obras montada em suporte metálico móvel, lado 1,00 m — utilização de 600 ciclos — fornecimento, 01 implantação e 01 retirada diária</t>
        </is>
      </c>
      <c r="C89" s="20" t="inlineStr">
        <is>
          <t>UN/DIA</t>
        </is>
      </c>
      <c r="D89" s="21" t="n">
        <v>946000</v>
      </c>
      <c r="E89" s="22" t="n">
        <v>1191.96</v>
      </c>
      <c r="F89" s="21" t="n">
        <v>0</v>
      </c>
      <c r="G89" s="23" t="n">
        <v>0</v>
      </c>
      <c r="H89" s="22" t="n">
        <v>0</v>
      </c>
      <c r="I89" s="22" t="n">
        <v>0</v>
      </c>
      <c r="J89" s="22">
        <f>H89+I89</f>
        <v/>
      </c>
      <c r="K89" s="23">
        <f>J89/E89</f>
        <v/>
      </c>
    </row>
    <row r="90" ht="42" customHeight="1">
      <c r="A90" s="11" t="inlineStr">
        <is>
          <t>8301051</t>
        </is>
      </c>
      <c r="B90" s="12" t="inlineStr">
        <is>
          <t>Cavalete em polietileno zebrado com faixa refletiva — H=1,00 m — utilização de 600 ciclos — fornecimento, 01 implantação e 01 retirada diária</t>
        </is>
      </c>
      <c r="C90" s="13" t="inlineStr">
        <is>
          <t>UN/DIA</t>
        </is>
      </c>
      <c r="D90" s="16" t="n">
        <v>418000</v>
      </c>
      <c r="E90" s="15" t="n">
        <v>271.7</v>
      </c>
      <c r="F90" s="16" t="n">
        <v>0</v>
      </c>
      <c r="G90" s="17" t="n">
        <v>0</v>
      </c>
      <c r="H90" s="15" t="n">
        <v>0</v>
      </c>
      <c r="I90" s="15" t="n">
        <v>0</v>
      </c>
      <c r="J90" s="15">
        <f>H90+I90</f>
        <v/>
      </c>
      <c r="K90" s="17">
        <f>J90/E90</f>
        <v/>
      </c>
    </row>
    <row r="91" ht="22" customHeight="1">
      <c r="A91" s="31" t="inlineStr">
        <is>
          <t>Subtotal 4.0</t>
        </is>
      </c>
      <c r="B91" s="32" t="n"/>
      <c r="C91" s="32" t="n"/>
      <c r="D91" s="32" t="n"/>
      <c r="E91" s="33">
        <f>SUM(E82:E90)</f>
        <v/>
      </c>
      <c r="F91" s="34" t="n"/>
      <c r="G91" s="34" t="n"/>
      <c r="H91" s="33">
        <f>SUM(H82:H90)</f>
        <v/>
      </c>
      <c r="I91" s="33">
        <f>SUM(I82:I90)</f>
        <v/>
      </c>
      <c r="J91" s="33">
        <f>SUM(J82:J90)</f>
        <v/>
      </c>
      <c r="K91" s="35">
        <f>IF(E91=0,0,J91/E91)</f>
        <v/>
      </c>
    </row>
    <row r="92" ht="22" customHeight="1">
      <c r="A92" s="10" t="inlineStr">
        <is>
          <t>5.0 — INSTALAÇÕES PONTE DE IGAPÓ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</row>
    <row r="93" ht="28" customHeight="1">
      <c r="A93" s="11" t="inlineStr">
        <is>
          <t>83120</t>
        </is>
      </c>
      <c r="B93" s="12" t="inlineStr">
        <is>
          <t>Relé fotoelétrico para comando de iluminação externa 1000 W — fornecimento e instalação. AF_08/2020</t>
        </is>
      </c>
      <c r="C93" s="13" t="inlineStr">
        <is>
          <t>UND</t>
        </is>
      </c>
      <c r="D93" s="16" t="n">
        <v>40000</v>
      </c>
      <c r="E93" s="15" t="n">
        <v>899.6</v>
      </c>
      <c r="F93" s="16" t="n">
        <v>38000</v>
      </c>
      <c r="G93" s="17" t="n">
        <v>0.95</v>
      </c>
      <c r="H93" s="15" t="n">
        <v>854.62</v>
      </c>
      <c r="I93" s="15" t="n">
        <v>91.18000000000001</v>
      </c>
      <c r="J93" s="27">
        <f>H93+I93</f>
        <v/>
      </c>
      <c r="K93" s="17">
        <f>J93/E93</f>
        <v/>
      </c>
    </row>
    <row r="94" ht="28" customHeight="1">
      <c r="A94" s="18" t="inlineStr">
        <is>
          <t>97472</t>
        </is>
      </c>
      <c r="B94" s="19" t="inlineStr">
        <is>
          <t>Concreto FCK=30 MPa — confecção em betoneira e lançamento manual — areia e brita comerciais</t>
        </is>
      </c>
      <c r="C94" s="20" t="inlineStr">
        <is>
          <t>M³</t>
        </is>
      </c>
      <c r="D94" s="21" t="n">
        <v>10000</v>
      </c>
      <c r="E94" s="22" t="n">
        <v>4286.7</v>
      </c>
      <c r="F94" s="21" t="n">
        <v>6460</v>
      </c>
      <c r="G94" s="23" t="n">
        <v>0.6459999999999999</v>
      </c>
      <c r="H94" s="22" t="n">
        <v>2769.2</v>
      </c>
      <c r="I94" s="22" t="n">
        <v>105.22</v>
      </c>
      <c r="J94" s="24">
        <f>H94+I94</f>
        <v/>
      </c>
      <c r="K94" s="23">
        <f>J94/E94</f>
        <v/>
      </c>
    </row>
    <row r="95" ht="28" customHeight="1">
      <c r="A95" s="11" t="inlineStr">
        <is>
          <t>97478</t>
        </is>
      </c>
      <c r="B95" s="12" t="inlineStr">
        <is>
          <t>Fornecimento e aplicação de adesivo estrutural à base de resina epóxi</t>
        </is>
      </c>
      <c r="C95" s="13" t="inlineStr">
        <is>
          <t>KG</t>
        </is>
      </c>
      <c r="D95" s="16" t="n">
        <v>40000</v>
      </c>
      <c r="E95" s="15" t="n">
        <v>3041.6</v>
      </c>
      <c r="F95" s="16" t="n">
        <v>38000</v>
      </c>
      <c r="G95" s="17" t="n">
        <v>0.95</v>
      </c>
      <c r="H95" s="15" t="n">
        <v>2889.52</v>
      </c>
      <c r="I95" s="15" t="n">
        <v>109.8</v>
      </c>
      <c r="J95" s="27">
        <f>H95+I95</f>
        <v/>
      </c>
      <c r="K95" s="17">
        <f>J95/E95</f>
        <v/>
      </c>
    </row>
    <row r="96" ht="16" customHeight="1">
      <c r="A96" s="18" t="inlineStr">
        <is>
          <t>97489</t>
        </is>
      </c>
      <c r="B96" s="19" t="inlineStr">
        <is>
          <t>Demolição controlada de concreto com martelete</t>
        </is>
      </c>
      <c r="C96" s="20" t="inlineStr">
        <is>
          <t>M³</t>
        </is>
      </c>
      <c r="D96" s="21" t="n">
        <v>44000</v>
      </c>
      <c r="E96" s="22" t="n">
        <v>16141.84</v>
      </c>
      <c r="F96" s="21" t="n">
        <v>23864</v>
      </c>
      <c r="G96" s="23" t="n">
        <v>0.5424</v>
      </c>
      <c r="H96" s="22" t="n">
        <v>8754.74</v>
      </c>
      <c r="I96" s="22" t="n">
        <v>332.68</v>
      </c>
      <c r="J96" s="24">
        <f>H96+I96</f>
        <v/>
      </c>
      <c r="K96" s="23">
        <f>J96/E96</f>
        <v/>
      </c>
    </row>
    <row r="97" ht="28" customHeight="1">
      <c r="A97" s="11" t="inlineStr">
        <is>
          <t>97804</t>
        </is>
      </c>
      <c r="B97" s="12" t="inlineStr">
        <is>
          <t>Armação em aço CA/50 — fornecimento, preparo e colocação</t>
        </is>
      </c>
      <c r="C97" s="13" t="inlineStr">
        <is>
          <t>KG</t>
        </is>
      </c>
      <c r="D97" s="16" t="n">
        <v>192504</v>
      </c>
      <c r="E97" s="15" t="n">
        <v>2629.6</v>
      </c>
      <c r="F97" s="16" t="n">
        <v>168811</v>
      </c>
      <c r="G97" s="17" t="n">
        <v>0.8769</v>
      </c>
      <c r="H97" s="15" t="n">
        <v>2305.95</v>
      </c>
      <c r="I97" s="15" t="n">
        <v>27.21</v>
      </c>
      <c r="J97" s="27">
        <f>H97+I97</f>
        <v/>
      </c>
      <c r="K97" s="17">
        <f>J97/E97</f>
        <v/>
      </c>
    </row>
    <row r="98" ht="42" customHeight="1">
      <c r="A98" s="18" t="inlineStr">
        <is>
          <t>99278</t>
        </is>
      </c>
      <c r="B98" s="19" t="inlineStr">
        <is>
          <t>Fôrma metálica curva em chapa 3/16" — reforçada com nervuras — utilização de 100 vezes — confecção, instalação e retirada</t>
        </is>
      </c>
      <c r="C98" s="20" t="inlineStr">
        <is>
          <t>M²</t>
        </is>
      </c>
      <c r="D98" s="21" t="n">
        <v>64000</v>
      </c>
      <c r="E98" s="22" t="n">
        <v>1374.08</v>
      </c>
      <c r="F98" s="21" t="n">
        <v>55100</v>
      </c>
      <c r="G98" s="23" t="n">
        <v>0.8609</v>
      </c>
      <c r="H98" s="22" t="n">
        <v>1182.99</v>
      </c>
      <c r="I98" s="22" t="n">
        <v>13.95</v>
      </c>
      <c r="J98" s="24">
        <f>H98+I98</f>
        <v/>
      </c>
      <c r="K98" s="23">
        <f>J98/E98</f>
        <v/>
      </c>
    </row>
    <row r="99" ht="28" customHeight="1">
      <c r="A99" s="11" t="inlineStr">
        <is>
          <t>952420</t>
        </is>
      </c>
      <c r="B99" s="12" t="inlineStr">
        <is>
          <t>Luminária de LED para iluminação pública, de 138 W até 180 W — fornecimento e instalação. AF_08/2020</t>
        </is>
      </c>
      <c r="C99" s="13" t="inlineStr">
        <is>
          <t>UN</t>
        </is>
      </c>
      <c r="D99" s="16" t="n">
        <v>40000</v>
      </c>
      <c r="E99" s="15" t="n">
        <v>37906.8</v>
      </c>
      <c r="F99" s="16" t="n">
        <v>38000</v>
      </c>
      <c r="G99" s="17" t="n">
        <v>0.95</v>
      </c>
      <c r="H99" s="15" t="n">
        <v>36011.46</v>
      </c>
      <c r="I99" s="15" t="n">
        <v>597.79</v>
      </c>
      <c r="J99" s="27">
        <f>H99+I99</f>
        <v/>
      </c>
      <c r="K99" s="17">
        <f>J99/E99</f>
        <v/>
      </c>
    </row>
    <row r="100" ht="28" customHeight="1">
      <c r="A100" s="18" t="inlineStr">
        <is>
          <t>4805750</t>
        </is>
      </c>
      <c r="B100" s="19" t="inlineStr">
        <is>
          <t>Escavação manual em material de 1ª categoria na profundidade de até 1 m</t>
        </is>
      </c>
      <c r="C100" s="20" t="inlineStr">
        <is>
          <t>M³</t>
        </is>
      </c>
      <c r="D100" s="21" t="n">
        <v>45000</v>
      </c>
      <c r="E100" s="22" t="n">
        <v>2395.35</v>
      </c>
      <c r="F100" s="21" t="n">
        <v>42750</v>
      </c>
      <c r="G100" s="23" t="n">
        <v>0.95</v>
      </c>
      <c r="H100" s="22" t="n">
        <v>2275.58</v>
      </c>
      <c r="I100" s="22" t="n">
        <v>93.29000000000001</v>
      </c>
      <c r="J100" s="24">
        <f>H100+I100</f>
        <v/>
      </c>
      <c r="K100" s="23">
        <f>J100/E100</f>
        <v/>
      </c>
    </row>
    <row r="101" ht="28" customHeight="1">
      <c r="A101" s="11" t="inlineStr">
        <is>
          <t>8301768</t>
        </is>
      </c>
      <c r="B101" s="12" t="inlineStr">
        <is>
          <t>Perfuração em concreto com martelete elétrico — D=13,0 mm</t>
        </is>
      </c>
      <c r="C101" s="13" t="inlineStr">
        <is>
          <t>M</t>
        </is>
      </c>
      <c r="D101" s="16" t="n">
        <v>64000</v>
      </c>
      <c r="E101" s="15" t="n">
        <v>1459.84</v>
      </c>
      <c r="F101" s="16" t="n">
        <v>60800</v>
      </c>
      <c r="G101" s="17" t="n">
        <v>0.95</v>
      </c>
      <c r="H101" s="15" t="n">
        <v>1386.84</v>
      </c>
      <c r="I101" s="15" t="n">
        <v>52.69</v>
      </c>
      <c r="J101" s="27">
        <f>H101+I101</f>
        <v/>
      </c>
      <c r="K101" s="17">
        <f>J101/E101</f>
        <v/>
      </c>
    </row>
    <row r="102" ht="42" customHeight="1">
      <c r="A102" s="18" t="inlineStr">
        <is>
          <t>8302029</t>
        </is>
      </c>
      <c r="B102" s="19" t="inlineStr">
        <is>
          <t>Braço para iluminação pública, em tubo de aço galvanizado, comprimento de 1,50 m, para fixação em poste de concreto — fornecimento e instalação. AF_08/2020</t>
        </is>
      </c>
      <c r="C102" s="20" t="inlineStr">
        <is>
          <t>UND</t>
        </is>
      </c>
      <c r="D102" s="21" t="n">
        <v>40000</v>
      </c>
      <c r="E102" s="22" t="n">
        <v>5638.8</v>
      </c>
      <c r="F102" s="21" t="n">
        <v>38000</v>
      </c>
      <c r="G102" s="23" t="n">
        <v>0.95</v>
      </c>
      <c r="H102" s="22" t="n">
        <v>5356.86</v>
      </c>
      <c r="I102" s="22" t="n">
        <v>571.5700000000001</v>
      </c>
      <c r="J102" s="24">
        <f>H102+I102</f>
        <v/>
      </c>
      <c r="K102" s="23">
        <f>J102/E102</f>
        <v/>
      </c>
    </row>
    <row r="103" ht="42" customHeight="1">
      <c r="A103" s="11" t="inlineStr">
        <is>
          <t>8302035a</t>
        </is>
      </c>
      <c r="B103" s="12" t="inlineStr">
        <is>
          <t>Assentamento de poste de concreto com comprimento nominal de 11 m, carga nominal menor ou igual a 1000 DaN, engastamento simples com 1,7 m de solo. AF 11/2019</t>
        </is>
      </c>
      <c r="C103" s="13" t="inlineStr">
        <is>
          <t>UND</t>
        </is>
      </c>
      <c r="D103" s="16" t="n">
        <v>20000</v>
      </c>
      <c r="E103" s="15" t="n">
        <v>58372.2</v>
      </c>
      <c r="F103" s="16" t="n">
        <v>19000</v>
      </c>
      <c r="G103" s="17" t="n">
        <v>0.95</v>
      </c>
      <c r="H103" s="15" t="n">
        <v>55453.59</v>
      </c>
      <c r="I103" s="15" t="n">
        <v>920.52</v>
      </c>
      <c r="J103" s="27">
        <f>H103+I103</f>
        <v/>
      </c>
      <c r="K103" s="17">
        <f>J103/E103</f>
        <v/>
      </c>
    </row>
    <row r="104" ht="42" customHeight="1">
      <c r="A104" s="18" t="inlineStr">
        <is>
          <t>8302035b</t>
        </is>
      </c>
      <c r="B104" s="19" t="inlineStr">
        <is>
          <t>Cabo de cobre flexível isolado, 25 mm², anti-chama 0,6/1,0 kV, para rede enterrada de distribuição de energia elétrica — fornecimento e instalação. AF_12/2021</t>
        </is>
      </c>
      <c r="C104" s="20" t="inlineStr">
        <is>
          <t>UND</t>
        </is>
      </c>
      <c r="D104" s="21" t="n">
        <v>2220000</v>
      </c>
      <c r="E104" s="22" t="n">
        <v>9923.4</v>
      </c>
      <c r="F104" s="21" t="n">
        <v>2160000</v>
      </c>
      <c r="G104" s="23" t="n">
        <v>0.973</v>
      </c>
      <c r="H104" s="22" t="n">
        <v>9655.200000000001</v>
      </c>
      <c r="I104" s="22" t="n">
        <v>160.27</v>
      </c>
      <c r="J104" s="24">
        <f>H104+I104</f>
        <v/>
      </c>
      <c r="K104" s="23">
        <f>J104/E104</f>
        <v/>
      </c>
    </row>
    <row r="105" ht="56" customHeight="1">
      <c r="A105" s="11" t="inlineStr">
        <is>
          <t>8302035c</t>
        </is>
      </c>
      <c r="B105" s="12" t="inlineStr">
        <is>
          <t>Guindauto hidráulico, capacidade máxima de carga 6200 kg, momento máximo de carga 11,7 TM, alcance máximo horizontal 9,70 m, inclusive caminhão toco PBT 16.000 kg, potência de 189 CV — CHP diurno. AF_06/2014</t>
        </is>
      </c>
      <c r="C105" s="13" t="inlineStr">
        <is>
          <t>CHP</t>
        </is>
      </c>
      <c r="D105" s="16" t="n">
        <v>80000</v>
      </c>
      <c r="E105" s="15" t="n">
        <v>23065.6</v>
      </c>
      <c r="F105" s="16" t="n">
        <v>80000</v>
      </c>
      <c r="G105" s="17" t="n">
        <v>1</v>
      </c>
      <c r="H105" s="15" t="n">
        <v>23065.6</v>
      </c>
      <c r="I105" s="15" t="n">
        <v>2297.33</v>
      </c>
      <c r="J105" s="27">
        <f>H105+I105</f>
        <v/>
      </c>
      <c r="K105" s="17">
        <f>J105/E105</f>
        <v/>
      </c>
    </row>
    <row r="106" ht="28" customHeight="1">
      <c r="A106" s="18" t="inlineStr">
        <is>
          <t>8302035d</t>
        </is>
      </c>
      <c r="B106" s="19" t="inlineStr">
        <is>
          <t>Haste de aterramento, diâmetro 5/8", com 3 metros — fornecimento e instalação. AF_08/2023</t>
        </is>
      </c>
      <c r="C106" s="20" t="inlineStr">
        <is>
          <t>UND</t>
        </is>
      </c>
      <c r="D106" s="21" t="n">
        <v>20000</v>
      </c>
      <c r="E106" s="22" t="n">
        <v>1609.4</v>
      </c>
      <c r="F106" s="21" t="n">
        <v>19000</v>
      </c>
      <c r="G106" s="23" t="n">
        <v>0.95</v>
      </c>
      <c r="H106" s="22" t="n">
        <v>1528.93</v>
      </c>
      <c r="I106" s="22" t="n">
        <v>152.28</v>
      </c>
      <c r="J106" s="24">
        <f>H106+I106</f>
        <v/>
      </c>
      <c r="K106" s="23">
        <f>J106/E106</f>
        <v/>
      </c>
    </row>
    <row r="107" ht="42" customHeight="1">
      <c r="A107" s="11" t="inlineStr">
        <is>
          <t>8302036a</t>
        </is>
      </c>
      <c r="B107" s="12" t="inlineStr">
        <is>
          <t>Entrada de energia elétrica, aérea, monofásica, com caixa de sobrepor, cabo de 25 mm2 e disjuntor DIN 50A (não incluso o poste de concreto). AF_07/2020_PS</t>
        </is>
      </c>
      <c r="C107" s="13" t="inlineStr">
        <is>
          <t>UND</t>
        </is>
      </c>
      <c r="D107" s="16" t="n">
        <v>2000</v>
      </c>
      <c r="E107" s="15" t="n">
        <v>3209.68</v>
      </c>
      <c r="F107" s="16" t="n">
        <v>2000</v>
      </c>
      <c r="G107" s="17" t="n">
        <v>1</v>
      </c>
      <c r="H107" s="15" t="n">
        <v>3209.68</v>
      </c>
      <c r="I107" s="15" t="n">
        <v>342.47</v>
      </c>
      <c r="J107" s="27">
        <f>H107+I107</f>
        <v/>
      </c>
      <c r="K107" s="17">
        <f>J107/E107</f>
        <v/>
      </c>
    </row>
    <row r="108" ht="28" customHeight="1">
      <c r="A108" s="18" t="inlineStr">
        <is>
          <t>8302036b</t>
        </is>
      </c>
      <c r="B108" s="19" t="inlineStr">
        <is>
          <t>Remoção de cabos elétricos, de forma manual, sem reaproveitamento. AF_12/2 M017</t>
        </is>
      </c>
      <c r="C108" s="20" t="inlineStr">
        <is>
          <t>M</t>
        </is>
      </c>
      <c r="D108" s="21" t="n">
        <v>1440000</v>
      </c>
      <c r="E108" s="22" t="n">
        <v>936</v>
      </c>
      <c r="F108" s="21" t="n">
        <v>1440000</v>
      </c>
      <c r="G108" s="23" t="n">
        <v>1</v>
      </c>
      <c r="H108" s="22" t="n">
        <v>936</v>
      </c>
      <c r="I108" s="22" t="n">
        <v>99.87</v>
      </c>
      <c r="J108" s="24">
        <f>H108+I108</f>
        <v/>
      </c>
      <c r="K108" s="23">
        <f>J108/E108</f>
        <v/>
      </c>
    </row>
    <row r="109" ht="22" customHeight="1">
      <c r="A109" s="31" t="inlineStr">
        <is>
          <t>Subtotal 5.0</t>
        </is>
      </c>
      <c r="B109" s="32" t="n"/>
      <c r="C109" s="32" t="n"/>
      <c r="D109" s="32" t="n"/>
      <c r="E109" s="33">
        <f>SUM(E93:E108)</f>
        <v/>
      </c>
      <c r="F109" s="34" t="n"/>
      <c r="G109" s="34" t="n"/>
      <c r="H109" s="33">
        <f>SUM(H93:H108)</f>
        <v/>
      </c>
      <c r="I109" s="33">
        <f>SUM(I93:I108)</f>
        <v/>
      </c>
      <c r="J109" s="33">
        <f>SUM(J93:J108)</f>
        <v/>
      </c>
      <c r="K109" s="35">
        <f>IF(E109=0,0,J109/E109)</f>
        <v/>
      </c>
    </row>
    <row r="110" ht="22" customHeight="1">
      <c r="A110" s="10" t="inlineStr">
        <is>
          <t>6.0 — ESTORNOS / RESSARCIMENTOS / DESCONTOS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</row>
    <row r="111" ht="28" customHeight="1">
      <c r="A111" s="11" t="inlineStr">
        <is>
          <t>51114</t>
        </is>
      </c>
      <c r="B111" s="12" t="inlineStr">
        <is>
          <t>EST.QTDE.LQDA. 1.0 51114 — 1,2,3,4,5,6,7,8,9,10,11,12,13,14,15,16,17,18,19</t>
        </is>
      </c>
      <c r="C111" s="13" t="inlineStr">
        <is>
          <t>—</t>
        </is>
      </c>
      <c r="D111" s="16" t="n">
        <v>0</v>
      </c>
      <c r="E111" s="15" t="n">
        <v>0</v>
      </c>
      <c r="F111" s="16" t="n">
        <v>0</v>
      </c>
      <c r="G111" s="17" t="n">
        <v>0</v>
      </c>
      <c r="H111" s="15" t="n">
        <v>0</v>
      </c>
      <c r="I111" s="15" t="n">
        <v>0</v>
      </c>
      <c r="J111" s="15">
        <f>H111+I111</f>
        <v/>
      </c>
      <c r="K111" s="17" t="n">
        <v>0</v>
      </c>
    </row>
    <row r="112" ht="28" customHeight="1">
      <c r="A112" s="18" t="inlineStr">
        <is>
          <t>92944</t>
        </is>
      </c>
      <c r="B112" s="19" t="inlineStr">
        <is>
          <t>EST.QTDE.LQDA. 1.0 92944 — 1,2,3,4,5,6,7,8,9,10,11,12,13,14,15,16,17,18,19</t>
        </is>
      </c>
      <c r="C112" s="20" t="inlineStr">
        <is>
          <t>—</t>
        </is>
      </c>
      <c r="D112" s="21" t="n">
        <v>0</v>
      </c>
      <c r="E112" s="22" t="n">
        <v>0</v>
      </c>
      <c r="F112" s="21" t="n">
        <v>0</v>
      </c>
      <c r="G112" s="23" t="n">
        <v>0</v>
      </c>
      <c r="H112" s="22" t="n">
        <v>0</v>
      </c>
      <c r="I112" s="22" t="n">
        <v>0</v>
      </c>
      <c r="J112" s="22">
        <f>H112+I112</f>
        <v/>
      </c>
      <c r="K112" s="23" t="n">
        <v>0</v>
      </c>
    </row>
    <row r="113" ht="28" customHeight="1">
      <c r="A113" s="11" t="inlineStr">
        <is>
          <t>97482</t>
        </is>
      </c>
      <c r="B113" s="12" t="inlineStr">
        <is>
          <t>EST.QTDE.LQDA. 1.0 97482 — 1,2,3,4,5,6,7,8,9,10,11,12,13,14,15,16,17,18,19</t>
        </is>
      </c>
      <c r="C113" s="13" t="inlineStr">
        <is>
          <t>—</t>
        </is>
      </c>
      <c r="D113" s="16" t="n">
        <v>0</v>
      </c>
      <c r="E113" s="15" t="n">
        <v>0</v>
      </c>
      <c r="F113" s="16" t="n">
        <v>0</v>
      </c>
      <c r="G113" s="17" t="n">
        <v>0</v>
      </c>
      <c r="H113" s="15" t="n">
        <v>0</v>
      </c>
      <c r="I113" s="15" t="n">
        <v>0</v>
      </c>
      <c r="J113" s="15">
        <f>H113+I113</f>
        <v/>
      </c>
      <c r="K113" s="17" t="n">
        <v>0</v>
      </c>
    </row>
    <row r="114" ht="16" customHeight="1">
      <c r="A114" s="18" t="inlineStr">
        <is>
          <t>97486</t>
        </is>
      </c>
      <c r="B114" s="19" t="inlineStr">
        <is>
          <t>EST.QTDE.LQDA. 1.0 97486 — 3</t>
        </is>
      </c>
      <c r="C114" s="20" t="inlineStr">
        <is>
          <t>—</t>
        </is>
      </c>
      <c r="D114" s="21" t="n">
        <v>0</v>
      </c>
      <c r="E114" s="22" t="n">
        <v>0</v>
      </c>
      <c r="F114" s="21" t="n">
        <v>0</v>
      </c>
      <c r="G114" s="23" t="n">
        <v>0</v>
      </c>
      <c r="H114" s="22" t="n">
        <v>0</v>
      </c>
      <c r="I114" s="22" t="n">
        <v>0</v>
      </c>
      <c r="J114" s="22">
        <f>H114+I114</f>
        <v/>
      </c>
      <c r="K114" s="23" t="n">
        <v>0</v>
      </c>
    </row>
    <row r="115" ht="28" customHeight="1">
      <c r="A115" s="11" t="inlineStr">
        <is>
          <t>97799</t>
        </is>
      </c>
      <c r="B115" s="12" t="inlineStr">
        <is>
          <t>EST.QTDE.LQDA. 1.0 97799 — 1,2,3,4,5,6,7,8,9,10,11,12,13,14,15,16,17,18,19</t>
        </is>
      </c>
      <c r="C115" s="13" t="inlineStr">
        <is>
          <t>—</t>
        </is>
      </c>
      <c r="D115" s="16" t="n">
        <v>0</v>
      </c>
      <c r="E115" s="15" t="n">
        <v>0</v>
      </c>
      <c r="F115" s="16" t="n">
        <v>0</v>
      </c>
      <c r="G115" s="17" t="n">
        <v>0</v>
      </c>
      <c r="H115" s="15" t="n">
        <v>0</v>
      </c>
      <c r="I115" s="15" t="n">
        <v>0</v>
      </c>
      <c r="J115" s="15">
        <f>H115+I115</f>
        <v/>
      </c>
      <c r="K115" s="17" t="n">
        <v>0</v>
      </c>
    </row>
    <row r="116" ht="28" customHeight="1">
      <c r="A116" s="18" t="inlineStr">
        <is>
          <t>99279</t>
        </is>
      </c>
      <c r="B116" s="19" t="inlineStr">
        <is>
          <t>EST.QTDE.LQDA. 1.0 99279 — 1,2,3,4,5,6,7,8,9,10,11,12,13,14,15,16,17,18,19</t>
        </is>
      </c>
      <c r="C116" s="20" t="inlineStr">
        <is>
          <t>—</t>
        </is>
      </c>
      <c r="D116" s="21" t="n">
        <v>0</v>
      </c>
      <c r="E116" s="22" t="n">
        <v>0</v>
      </c>
      <c r="F116" s="21" t="n">
        <v>0</v>
      </c>
      <c r="G116" s="23" t="n">
        <v>0</v>
      </c>
      <c r="H116" s="22" t="n">
        <v>0</v>
      </c>
      <c r="I116" s="22" t="n">
        <v>0</v>
      </c>
      <c r="J116" s="22">
        <f>H116+I116</f>
        <v/>
      </c>
      <c r="K116" s="23" t="n">
        <v>0</v>
      </c>
    </row>
    <row r="117" ht="28" customHeight="1">
      <c r="A117" s="11" t="inlineStr">
        <is>
          <t>99280</t>
        </is>
      </c>
      <c r="B117" s="12" t="inlineStr">
        <is>
          <t>EST.QTDE.LQDA. 1.0 99280 — 1,2,3,4,5,6,7,8,9,10,11,12,13,14,15,16,17,18,19</t>
        </is>
      </c>
      <c r="C117" s="13" t="inlineStr">
        <is>
          <t>—</t>
        </is>
      </c>
      <c r="D117" s="16" t="n">
        <v>0</v>
      </c>
      <c r="E117" s="15" t="n">
        <v>0</v>
      </c>
      <c r="F117" s="16" t="n">
        <v>0</v>
      </c>
      <c r="G117" s="17" t="n">
        <v>0</v>
      </c>
      <c r="H117" s="15" t="n">
        <v>0</v>
      </c>
      <c r="I117" s="15" t="n">
        <v>0</v>
      </c>
      <c r="J117" s="15">
        <f>H117+I117</f>
        <v/>
      </c>
      <c r="K117" s="17" t="n">
        <v>0</v>
      </c>
    </row>
    <row r="118" ht="28" customHeight="1">
      <c r="A118" s="18" t="inlineStr">
        <is>
          <t>99281</t>
        </is>
      </c>
      <c r="B118" s="19" t="inlineStr">
        <is>
          <t>EST.QTDE.LQDA. 1.0 99281 — 1,2,3,4,5,6,7,8,9,10,11,12,13,14,15,16,17,18,19</t>
        </is>
      </c>
      <c r="C118" s="20" t="inlineStr">
        <is>
          <t>—</t>
        </is>
      </c>
      <c r="D118" s="21" t="n">
        <v>0</v>
      </c>
      <c r="E118" s="22" t="n">
        <v>0</v>
      </c>
      <c r="F118" s="21" t="n">
        <v>0</v>
      </c>
      <c r="G118" s="23" t="n">
        <v>0</v>
      </c>
      <c r="H118" s="22" t="n">
        <v>0</v>
      </c>
      <c r="I118" s="22" t="n">
        <v>0</v>
      </c>
      <c r="J118" s="22">
        <f>H118+I118</f>
        <v/>
      </c>
      <c r="K118" s="23" t="n">
        <v>0</v>
      </c>
    </row>
    <row r="119" ht="22" customHeight="1">
      <c r="A119" s="31" t="inlineStr">
        <is>
          <t>Subtotal 6.0</t>
        </is>
      </c>
      <c r="B119" s="32" t="n"/>
      <c r="C119" s="32" t="n"/>
      <c r="D119" s="32" t="n"/>
      <c r="E119" s="33">
        <f>SUM(E111:E118)</f>
        <v/>
      </c>
      <c r="F119" s="34" t="n"/>
      <c r="G119" s="34" t="n"/>
      <c r="H119" s="33">
        <f>SUM(H111:H118)</f>
        <v/>
      </c>
      <c r="I119" s="33">
        <f>SUM(I111:I118)</f>
        <v/>
      </c>
      <c r="J119" s="33">
        <f>SUM(J111:J118)</f>
        <v/>
      </c>
      <c r="K119" s="34" t="n"/>
    </row>
    <row r="121" ht="26" customHeight="1">
      <c r="A121" s="36" t="inlineStr">
        <is>
          <t>SOMA</t>
        </is>
      </c>
      <c r="B121" s="37" t="n"/>
      <c r="C121" s="37" t="n"/>
      <c r="D121" s="37" t="n"/>
      <c r="E121" s="38">
        <f>E56+E72+E77+E80+E91+E109+E119</f>
        <v/>
      </c>
      <c r="F121" s="37" t="n"/>
      <c r="G121" s="37" t="n"/>
      <c r="H121" s="38">
        <f>H56+H72+H77+H80+H91+H109+H119</f>
        <v/>
      </c>
      <c r="I121" s="38">
        <f>I56+I72+I77+I80+I91+I109+I119</f>
        <v/>
      </c>
      <c r="J121" s="38">
        <f>J56+J72+J77+J80+J91+J109+J119</f>
        <v/>
      </c>
      <c r="K121" s="37" t="n"/>
    </row>
    <row r="122" ht="26" customHeight="1">
      <c r="A122" s="39" t="inlineStr">
        <is>
          <t>VALOR DO CONTRATO</t>
        </is>
      </c>
      <c r="B122" s="40" t="n"/>
      <c r="C122" s="40" t="n"/>
      <c r="D122" s="40" t="n"/>
      <c r="E122" s="41" t="n">
        <v>11371194.85</v>
      </c>
      <c r="F122" s="40" t="n"/>
      <c r="G122" s="40" t="n"/>
      <c r="H122" s="41" t="n">
        <v>11371194.85</v>
      </c>
      <c r="I122" s="41" t="n">
        <v>342521.86</v>
      </c>
      <c r="J122" s="41" t="n">
        <v>11713716.71</v>
      </c>
      <c r="K122" s="40" t="n"/>
    </row>
    <row r="123" ht="26" customHeight="1">
      <c r="A123" s="42" t="inlineStr">
        <is>
          <t>PERCENTUAL FATURADO</t>
        </is>
      </c>
      <c r="B123" s="43" t="n"/>
      <c r="C123" s="43" t="n"/>
      <c r="D123" s="43" t="n"/>
      <c r="E123" s="44">
        <f>E121/E122</f>
        <v/>
      </c>
      <c r="F123" s="45" t="n"/>
      <c r="G123" s="45" t="n"/>
      <c r="H123" s="44">
        <f>H121/H122</f>
        <v/>
      </c>
      <c r="I123" s="44">
        <f>I121/I122</f>
        <v/>
      </c>
      <c r="J123" s="44">
        <f>J121/J122</f>
        <v/>
      </c>
      <c r="K123" s="45" t="n"/>
    </row>
    <row r="125">
      <c r="A125" s="46" t="inlineStr">
        <is>
          <t>(*) Estorno/Ressarcimento com reflexo na planilha de serviços.</t>
        </is>
      </c>
      <c r="B125" s="47" t="n"/>
      <c r="C125" s="47" t="n"/>
      <c r="D125" s="47" t="n"/>
      <c r="E125" s="47" t="n"/>
      <c r="F125" s="47" t="n"/>
      <c r="G125" s="47" t="n"/>
      <c r="H125" s="47" t="n"/>
      <c r="I125" s="47" t="n"/>
      <c r="J125" s="47" t="n"/>
      <c r="K125" s="47" t="n"/>
    </row>
    <row r="126">
      <c r="A126" s="46" t="inlineStr">
        <is>
          <t>Fonte: Relatórios de Controle Financeiro (B) e Controle Físico (C) — 31ª Medição Provisória — Índices Definitivos — Processado 20/08/2026</t>
        </is>
      </c>
      <c r="B126" s="47" t="n"/>
      <c r="C126" s="47" t="n"/>
      <c r="D126" s="47" t="n"/>
      <c r="E126" s="47" t="n"/>
      <c r="F126" s="47" t="n"/>
      <c r="G126" s="47" t="n"/>
      <c r="H126" s="47" t="n"/>
      <c r="I126" s="47" t="n"/>
      <c r="J126" s="47" t="n"/>
      <c r="K126" s="47" t="n"/>
    </row>
    <row r="127">
      <c r="A127" s="46" t="inlineStr">
        <is>
          <t>Solicitado por WAGNER XAVIER MACHADO JÚNIOR em 24/08/2026</t>
        </is>
      </c>
      <c r="B127" s="47" t="n"/>
      <c r="C127" s="47" t="n"/>
      <c r="D127" s="47" t="n"/>
      <c r="E127" s="47" t="n"/>
      <c r="F127" s="47" t="n"/>
      <c r="G127" s="47" t="n"/>
      <c r="H127" s="47" t="n"/>
      <c r="I127" s="47" t="n"/>
      <c r="J127" s="47" t="n"/>
      <c r="K127" s="47" t="n"/>
    </row>
  </sheetData>
  <mergeCells count="47">
    <mergeCell ref="A127:K127"/>
    <mergeCell ref="H13:K13"/>
    <mergeCell ref="C10:K10"/>
    <mergeCell ref="A91:D91"/>
    <mergeCell ref="A92:K92"/>
    <mergeCell ref="A122:D122"/>
    <mergeCell ref="A15:K15"/>
    <mergeCell ref="A11:B11"/>
    <mergeCell ref="A73:K73"/>
    <mergeCell ref="A72:D72"/>
    <mergeCell ref="C9:K9"/>
    <mergeCell ref="A109:D109"/>
    <mergeCell ref="A121:D121"/>
    <mergeCell ref="A13"/>
    <mergeCell ref="A1:K1"/>
    <mergeCell ref="A6:B6"/>
    <mergeCell ref="A110:K110"/>
    <mergeCell ref="C11:K11"/>
    <mergeCell ref="A7:B7"/>
    <mergeCell ref="A77:D77"/>
    <mergeCell ref="A78:K78"/>
    <mergeCell ref="B13:B14"/>
    <mergeCell ref="D13:E13"/>
    <mergeCell ref="C8:K8"/>
    <mergeCell ref="A3:B3"/>
    <mergeCell ref="A123:D123"/>
    <mergeCell ref="C7:K7"/>
    <mergeCell ref="A119:D119"/>
    <mergeCell ref="A13:A14"/>
    <mergeCell ref="A57:K57"/>
    <mergeCell ref="A5:B5"/>
    <mergeCell ref="A2:K2"/>
    <mergeCell ref="C3:K3"/>
    <mergeCell ref="F13:G13"/>
    <mergeCell ref="A8:B8"/>
    <mergeCell ref="A126:K126"/>
    <mergeCell ref="C6:K6"/>
    <mergeCell ref="A4:B4"/>
    <mergeCell ref="C13:C14"/>
    <mergeCell ref="A80:D80"/>
    <mergeCell ref="A56:D56"/>
    <mergeCell ref="C5:K5"/>
    <mergeCell ref="A10:B10"/>
    <mergeCell ref="A81:K81"/>
    <mergeCell ref="A125:K125"/>
    <mergeCell ref="A9:B9"/>
    <mergeCell ref="C4:K4"/>
  </mergeCells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2026-08-24T19:01:37Z</dcterms:created>
  <dcterms:modified xsi:type="dcterms:W3CDTF">2026-08-24T19:01:37Z</dcterms:modified>
</cp:coreProperties>
</file>