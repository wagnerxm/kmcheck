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onograma Fís-Fin" sheetId="1" state="visible" r:id="rId1"/>
    <sheet name="Histórico de Medições" sheetId="2" state="visible" r:id="rId2"/>
    <sheet name="Saldo a Executar" sheetId="3" state="visible" r:id="rId3"/>
    <sheet name="Resumo do Contrato" sheetId="4" state="visible" r:id="rId4"/>
  </sheets>
  <definedNames>
    <definedName name="_xlnm.Print_Titles" localSheetId="0">'Cronograma Fís-Fin'!$1:$13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424242"/>
      <sz val="9"/>
    </font>
    <font>
      <name val="Arial"/>
      <color rgb="00424242"/>
      <sz val="9"/>
    </font>
    <font>
      <name val="Arial"/>
      <b val="1"/>
      <color rgb="00FFFFFF"/>
      <sz val="8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color rgb="00000000"/>
      <sz val="8"/>
    </font>
    <font>
      <name val="Arial"/>
      <color rgb="000D47A1"/>
      <sz val="8"/>
    </font>
    <font>
      <name val="Arial"/>
      <color rgb="00B71C1C"/>
      <sz val="8"/>
    </font>
    <font>
      <name val="Arial"/>
      <b val="1"/>
      <color rgb="00B71C1C"/>
      <sz val="8"/>
    </font>
    <font>
      <name val="Arial"/>
      <b val="1"/>
      <color rgb="000D47A1"/>
      <sz val="8"/>
    </font>
    <font>
      <name val="Arial"/>
      <b val="1"/>
      <color rgb="00E65100"/>
      <sz val="10"/>
    </font>
    <font>
      <name val="Arial"/>
      <color rgb="00424242"/>
      <sz val="8"/>
    </font>
    <font>
      <name val="Arial"/>
      <b val="1"/>
      <color rgb="00E65100"/>
      <sz val="9"/>
    </font>
    <font>
      <name val="Arial"/>
      <color rgb="00000000"/>
      <sz val="7"/>
    </font>
  </fonts>
  <fills count="11">
    <fill>
      <patternFill/>
    </fill>
    <fill>
      <patternFill patternType="gray125"/>
    </fill>
    <fill>
      <patternFill patternType="solid">
        <fgColor rgb="001F4E28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37474F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1B5E20"/>
      </patternFill>
    </fill>
    <fill>
      <patternFill patternType="solid">
        <fgColor rgb="00FFF9C4"/>
      </patternFill>
    </fill>
  </fills>
  <borders count="3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BDBDBD"/>
      </left>
      <right style="thin">
        <color rgb="00BDBDBD"/>
      </right>
      <top style="medium">
        <color rgb="00757575"/>
      </top>
      <bottom style="medium">
        <color rgb="00757575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right" vertical="center"/>
    </xf>
    <xf numFmtId="4" fontId="9" fillId="6" borderId="1" applyAlignment="1" pivotButton="0" quotePrefix="0" xfId="0">
      <alignment horizontal="right" vertical="center"/>
    </xf>
    <xf numFmtId="3" fontId="9" fillId="6" borderId="1" applyAlignment="1" pivotButton="0" quotePrefix="0" xfId="0">
      <alignment horizontal="right" vertical="center"/>
    </xf>
    <xf numFmtId="10" fontId="10" fillId="6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3" fontId="9" fillId="7" borderId="1" applyAlignment="1" pivotButton="0" quotePrefix="0" xfId="0">
      <alignment horizontal="right" vertical="center"/>
    </xf>
    <xf numFmtId="4" fontId="9" fillId="7" borderId="1" applyAlignment="1" pivotButton="0" quotePrefix="0" xfId="0">
      <alignment horizontal="right" vertical="center"/>
    </xf>
    <xf numFmtId="10" fontId="10" fillId="7" borderId="1" applyAlignment="1" pivotButton="0" quotePrefix="0" xfId="0">
      <alignment horizontal="center" vertical="center" wrapText="1"/>
    </xf>
    <xf numFmtId="4" fontId="8" fillId="7" borderId="1" applyAlignment="1" pivotButton="0" quotePrefix="0" xfId="0">
      <alignment horizontal="right" vertical="center"/>
    </xf>
    <xf numFmtId="4" fontId="11" fillId="7" borderId="1" applyAlignment="1" pivotButton="0" quotePrefix="0" xfId="0">
      <alignment horizontal="right" vertical="center"/>
    </xf>
    <xf numFmtId="4" fontId="12" fillId="7" borderId="1" applyAlignment="1" pivotButton="0" quotePrefix="0" xfId="0">
      <alignment horizontal="right" vertical="center"/>
    </xf>
    <xf numFmtId="4" fontId="11" fillId="6" borderId="1" applyAlignment="1" pivotButton="0" quotePrefix="0" xfId="0">
      <alignment horizontal="right" vertical="center"/>
    </xf>
    <xf numFmtId="4" fontId="12" fillId="6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right" vertical="center"/>
    </xf>
    <xf numFmtId="0" fontId="0" fillId="8" borderId="1" pivotButton="0" quotePrefix="0" xfId="0"/>
    <xf numFmtId="4" fontId="8" fillId="8" borderId="1" applyAlignment="1" pivotButton="0" quotePrefix="0" xfId="0">
      <alignment horizontal="right" vertical="center"/>
    </xf>
    <xf numFmtId="10" fontId="13" fillId="8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right" vertical="center"/>
    </xf>
    <xf numFmtId="0" fontId="7" fillId="2" borderId="2" pivotButton="0" quotePrefix="0" xfId="0"/>
    <xf numFmtId="4" fontId="7" fillId="2" borderId="2" applyAlignment="1" pivotButton="0" quotePrefix="0" xfId="0">
      <alignment horizontal="right" vertical="center"/>
    </xf>
    <xf numFmtId="0" fontId="2" fillId="9" borderId="2" applyAlignment="1" pivotButton="0" quotePrefix="0" xfId="0">
      <alignment horizontal="right" vertical="center"/>
    </xf>
    <xf numFmtId="0" fontId="2" fillId="9" borderId="2" pivotButton="0" quotePrefix="0" xfId="0"/>
    <xf numFmtId="4" fontId="2" fillId="9" borderId="2" applyAlignment="1" pivotButton="0" quotePrefix="0" xfId="0">
      <alignment horizontal="right" vertical="center"/>
    </xf>
    <xf numFmtId="0" fontId="14" fillId="10" borderId="2" applyAlignment="1" pivotButton="0" quotePrefix="0" xfId="0">
      <alignment horizontal="right" vertical="center"/>
    </xf>
    <xf numFmtId="0" fontId="14" fillId="10" borderId="2" pivotButton="0" quotePrefix="0" xfId="0"/>
    <xf numFmtId="10" fontId="14" fillId="10" borderId="2" applyAlignment="1" pivotButton="0" quotePrefix="0" xfId="0">
      <alignment horizontal="right" vertical="center"/>
    </xf>
    <xf numFmtId="0" fontId="1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6" fillId="10" borderId="2" applyAlignment="1" pivotButton="0" quotePrefix="0" xfId="0">
      <alignment horizontal="right" vertical="center"/>
    </xf>
    <xf numFmtId="0" fontId="16" fillId="10" borderId="2" pivotButton="0" quotePrefix="0" xfId="0"/>
    <xf numFmtId="10" fontId="16" fillId="10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right" vertical="center"/>
    </xf>
    <xf numFmtId="0" fontId="2" fillId="2" borderId="2" pivotButton="0" quotePrefix="0" xfId="0"/>
    <xf numFmtId="4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7" customWidth="1" min="3" max="3"/>
    <col width="14" customWidth="1" min="4" max="4"/>
    <col width="16" customWidth="1" min="5" max="5"/>
    <col width="14" customWidth="1" min="6" max="6"/>
    <col width="10" customWidth="1" min="7" max="7"/>
    <col width="16" customWidth="1" min="8" max="8"/>
    <col width="14" customWidth="1" min="9" max="9"/>
    <col width="16" customWidth="1" min="10" max="10"/>
    <col width="10" customWidth="1" min="11" max="11"/>
  </cols>
  <sheetData>
    <row r="1" ht="30" customHeight="1">
      <c r="A1" s="1" t="inlineStr">
        <is>
          <t>CRONOGRAMA FÍSICO-FINANCEIRO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0" customHeight="1">
      <c r="A2" s="3" t="inlineStr">
        <is>
          <t>DNIT — Superintendência Regional do DNIT no Estado do Rio Grande do Norte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5" t="inlineStr">
        <is>
          <t>Contrato:</t>
        </is>
      </c>
      <c r="B3" s="6" t="n"/>
      <c r="C3" s="7" t="inlineStr">
        <is>
          <t>14 00729/2023 — MATERA ENGENHARIA LTDA</t>
        </is>
      </c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5" t="inlineStr">
        <is>
          <t>Tipo:</t>
        </is>
      </c>
      <c r="B4" s="6" t="n"/>
      <c r="C4" s="7" t="inlineStr">
        <is>
          <t>Obra de Engenharia — Forma de Cálculo: NORMAL</t>
        </is>
      </c>
      <c r="D4" s="6" t="n"/>
      <c r="E4" s="6" t="n"/>
      <c r="F4" s="6" t="n"/>
      <c r="G4" s="6" t="n"/>
      <c r="H4" s="6" t="n"/>
      <c r="I4" s="6" t="n"/>
      <c r="J4" s="6" t="n"/>
      <c r="K4" s="6" t="n"/>
    </row>
    <row r="5">
      <c r="A5" s="5" t="inlineStr">
        <is>
          <t>Objeto:</t>
        </is>
      </c>
      <c r="B5" s="6" t="n"/>
      <c r="C5" s="7" t="inlineStr">
        <is>
          <t>RN — BR-101 / BR-226 / BR-304 / BR-406 — Trechos Urbanos — Manutenção de OAEs</t>
        </is>
      </c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5" t="inlineStr">
        <is>
          <t>Processo:</t>
        </is>
      </c>
      <c r="B6" s="6" t="n"/>
      <c r="C6" s="7" t="inlineStr">
        <is>
          <t>50614.003291/2023-42</t>
        </is>
      </c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5" t="inlineStr">
        <is>
          <t>Data Base:</t>
        </is>
      </c>
      <c r="B7" s="6" t="n"/>
      <c r="C7" s="7" t="inlineStr">
        <is>
          <t>01/01/2023</t>
        </is>
      </c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5" t="inlineStr">
        <is>
          <t>Período Acumulado:</t>
        </is>
      </c>
      <c r="B8" s="6" t="n"/>
      <c r="C8" s="7" t="inlineStr">
        <is>
          <t>09/01/2024 a 31/07/2026 (31ª Medição)</t>
        </is>
      </c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5" t="inlineStr">
        <is>
          <t>Valor do Contrato:</t>
        </is>
      </c>
      <c r="B9" s="6" t="n"/>
      <c r="C9" s="7" t="inlineStr">
        <is>
          <t>R$ 11.371.194,85</t>
        </is>
      </c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5" t="inlineStr">
        <is>
          <t>Fiscal:</t>
        </is>
      </c>
      <c r="B10" s="6" t="n"/>
      <c r="C10" s="7" t="inlineStr">
        <is>
          <t>S.R.E - RN  |  Gestão Pagamento: CGMRR / DIR</t>
        </is>
      </c>
      <c r="D10" s="6" t="n"/>
      <c r="E10" s="6" t="n"/>
      <c r="F10" s="6" t="n"/>
      <c r="G10" s="6" t="n"/>
      <c r="H10" s="6" t="n"/>
      <c r="I10" s="6" t="n"/>
      <c r="J10" s="6" t="n"/>
      <c r="K10" s="6" t="n"/>
    </row>
    <row r="12" ht="20" customHeight="1">
      <c r="A12" s="8" t="inlineStr">
        <is>
          <t>Item</t>
        </is>
      </c>
      <c r="B12" s="8" t="inlineStr">
        <is>
          <t>Descrição do Serviço</t>
        </is>
      </c>
      <c r="C12" s="8" t="inlineStr">
        <is>
          <t>Und</t>
        </is>
      </c>
      <c r="D12" s="8" t="inlineStr">
        <is>
          <t>DADOS CONTRATUAIS</t>
        </is>
      </c>
      <c r="E12" s="8" t="n"/>
      <c r="F12" s="8" t="inlineStr">
        <is>
          <t>EXECUÇÃO FÍSICA</t>
        </is>
      </c>
      <c r="G12" s="8" t="n"/>
      <c r="H12" s="8" t="inlineStr">
        <is>
          <t>EXECUÇÃO FINANCEIRA</t>
        </is>
      </c>
      <c r="I12" s="8" t="n"/>
      <c r="J12" s="8" t="n"/>
      <c r="K12" s="8" t="n"/>
    </row>
    <row r="13" ht="28" customHeight="1">
      <c r="A13" s="9" t="n"/>
      <c r="B13" s="9" t="n"/>
      <c r="C13" s="9" t="n"/>
      <c r="D13" s="10" t="inlineStr">
        <is>
          <t>Qtd Contrat.</t>
        </is>
      </c>
      <c r="E13" s="10" t="inlineStr">
        <is>
          <t>Valor Contrat. (R$)</t>
        </is>
      </c>
      <c r="F13" s="10" t="inlineStr">
        <is>
          <t>Qtd Acum.</t>
        </is>
      </c>
      <c r="G13" s="10" t="inlineStr">
        <is>
          <t>% Físico</t>
        </is>
      </c>
      <c r="H13" s="10" t="inlineStr">
        <is>
          <t>Valor Medido (R$)</t>
        </is>
      </c>
      <c r="I13" s="10" t="inlineStr">
        <is>
          <t>Reajust. (R$)</t>
        </is>
      </c>
      <c r="J13" s="10" t="inlineStr">
        <is>
          <t>Total Acum. (R$)</t>
        </is>
      </c>
      <c r="K13" s="10" t="inlineStr">
        <is>
          <t>% Financ.</t>
        </is>
      </c>
    </row>
    <row r="14" ht="20" customHeight="1">
      <c r="A14" s="11" t="inlineStr">
        <is>
          <t>1.0 — SERVIÇOS DE MANUTENÇÃO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 ht="15" customHeight="1">
      <c r="A15" s="12" t="inlineStr">
        <is>
          <t>49381</t>
        </is>
      </c>
      <c r="B15" s="13" t="inlineStr">
        <is>
          <t>Roçada com roçadeira costal</t>
        </is>
      </c>
      <c r="C15" s="14" t="inlineStr">
        <is>
          <t>HA</t>
        </is>
      </c>
      <c r="D15" s="15" t="n">
        <v>0.385</v>
      </c>
      <c r="E15" s="16" t="n">
        <v>308.23</v>
      </c>
      <c r="F15" s="17" t="n">
        <v>0</v>
      </c>
      <c r="G15" s="18" t="n">
        <v>0</v>
      </c>
      <c r="H15" s="16" t="n">
        <v>0</v>
      </c>
      <c r="I15" s="16" t="n">
        <v>0</v>
      </c>
      <c r="J15" s="19">
        <f>H15+I15</f>
        <v/>
      </c>
      <c r="K15" s="18">
        <f>IF(E15=0,0,J15/E15)</f>
        <v/>
      </c>
    </row>
    <row r="16" ht="15" customHeight="1">
      <c r="A16" s="20" t="inlineStr">
        <is>
          <t>49684</t>
        </is>
      </c>
      <c r="B16" s="21" t="inlineStr">
        <is>
          <t>Limpeza em junta de dilatação</t>
        </is>
      </c>
      <c r="C16" s="22" t="inlineStr">
        <is>
          <t>M</t>
        </is>
      </c>
      <c r="D16" s="23" t="n">
        <v>757200</v>
      </c>
      <c r="E16" s="24" t="n">
        <v>2854.64</v>
      </c>
      <c r="F16" s="23" t="n">
        <v>10100</v>
      </c>
      <c r="G16" s="25" t="n">
        <v>0.0133</v>
      </c>
      <c r="H16" s="24" t="n">
        <v>38.07</v>
      </c>
      <c r="I16" s="24" t="n">
        <v>1.74</v>
      </c>
      <c r="J16" s="26">
        <f>H16+I16</f>
        <v/>
      </c>
      <c r="K16" s="25">
        <f>IF(E16=0,0,J16/E16)</f>
        <v/>
      </c>
    </row>
    <row r="17" ht="15" customHeight="1">
      <c r="A17" s="12" t="inlineStr">
        <is>
          <t>49686</t>
        </is>
      </c>
      <c r="B17" s="13" t="inlineStr">
        <is>
          <t>Poda de árvores com até 5 m de altura</t>
        </is>
      </c>
      <c r="C17" s="14" t="inlineStr">
        <is>
          <t>M³</t>
        </is>
      </c>
      <c r="D17" s="17" t="n">
        <v>9500</v>
      </c>
      <c r="E17" s="16" t="n">
        <v>2177.78</v>
      </c>
      <c r="F17" s="17" t="n">
        <v>0</v>
      </c>
      <c r="G17" s="18" t="n">
        <v>0</v>
      </c>
      <c r="H17" s="16" t="n">
        <v>0</v>
      </c>
      <c r="I17" s="16" t="n">
        <v>0</v>
      </c>
      <c r="J17" s="19">
        <f>H17+I17</f>
        <v/>
      </c>
      <c r="K17" s="18">
        <f>IF(E17=0,0,J17/E17)</f>
        <v/>
      </c>
    </row>
    <row r="18" ht="26" customHeight="1">
      <c r="A18" s="20" t="inlineStr">
        <is>
          <t>50281</t>
        </is>
      </c>
      <c r="B18" s="21" t="inlineStr">
        <is>
          <t>Recomp. de erosão em corte ou aterro c/ material de jazida</t>
        </is>
      </c>
      <c r="C18" s="22" t="inlineStr">
        <is>
          <t>M³</t>
        </is>
      </c>
      <c r="D18" s="23" t="n">
        <v>387250</v>
      </c>
      <c r="E18" s="24" t="n">
        <v>8368.469999999999</v>
      </c>
      <c r="F18" s="23" t="n">
        <v>72000</v>
      </c>
      <c r="G18" s="25" t="n">
        <v>0.1859</v>
      </c>
      <c r="H18" s="24" t="n">
        <v>1555.92</v>
      </c>
      <c r="I18" s="24" t="n">
        <v>154.96</v>
      </c>
      <c r="J18" s="26">
        <f>H18+I18</f>
        <v/>
      </c>
      <c r="K18" s="25">
        <f>IF(E18=0,0,J18/E18)</f>
        <v/>
      </c>
    </row>
    <row r="19" ht="15" customHeight="1">
      <c r="A19" s="12" t="inlineStr">
        <is>
          <t>50329</t>
        </is>
      </c>
      <c r="B19" s="13" t="inlineStr">
        <is>
          <t>Remoção manual de vegetação daninha em frestas</t>
        </is>
      </c>
      <c r="C19" s="14" t="inlineStr">
        <is>
          <t>M</t>
        </is>
      </c>
      <c r="D19" s="17" t="n">
        <v>7285012</v>
      </c>
      <c r="E19" s="16" t="n">
        <v>19086.73</v>
      </c>
      <c r="F19" s="17" t="n">
        <v>0</v>
      </c>
      <c r="G19" s="18" t="n">
        <v>0</v>
      </c>
      <c r="H19" s="16" t="n">
        <v>0</v>
      </c>
      <c r="I19" s="16" t="n">
        <v>0</v>
      </c>
      <c r="J19" s="19">
        <f>H19+I19</f>
        <v/>
      </c>
      <c r="K19" s="18">
        <f>IF(E19=0,0,J19/E19)</f>
        <v/>
      </c>
    </row>
    <row r="20" ht="15" customHeight="1">
      <c r="A20" s="20" t="inlineStr">
        <is>
          <t>51114</t>
        </is>
      </c>
      <c r="B20" s="21" t="inlineStr">
        <is>
          <t>Pintura manual com nata de cimento — 3 demãos</t>
        </is>
      </c>
      <c r="C20" s="22" t="inlineStr">
        <is>
          <t>M²</t>
        </is>
      </c>
      <c r="D20" s="23" t="n">
        <v>0</v>
      </c>
      <c r="E20" s="24" t="n">
        <v>0</v>
      </c>
      <c r="F20" s="23" t="n">
        <v>0</v>
      </c>
      <c r="G20" s="25" t="n">
        <v>0</v>
      </c>
      <c r="H20" s="27" t="n">
        <v>-0.04</v>
      </c>
      <c r="I20" s="27" t="n">
        <v>-19550.43</v>
      </c>
      <c r="J20" s="28">
        <f>H20+I20</f>
        <v/>
      </c>
      <c r="K20" s="25" t="n">
        <v>0</v>
      </c>
    </row>
    <row r="21" ht="26" customHeight="1">
      <c r="A21" s="12" t="inlineStr">
        <is>
          <t>51909</t>
        </is>
      </c>
      <c r="B21" s="13" t="inlineStr">
        <is>
          <t>Terminal de ancoragem de defensa metálica em barreira New Jersey</t>
        </is>
      </c>
      <c r="C21" s="14" t="inlineStr">
        <is>
          <t>UND</t>
        </is>
      </c>
      <c r="D21" s="17" t="n">
        <v>3000</v>
      </c>
      <c r="E21" s="16" t="n">
        <v>1645.89</v>
      </c>
      <c r="F21" s="17" t="n">
        <v>0</v>
      </c>
      <c r="G21" s="18" t="n">
        <v>0</v>
      </c>
      <c r="H21" s="16" t="n">
        <v>0</v>
      </c>
      <c r="I21" s="16" t="n">
        <v>0</v>
      </c>
      <c r="J21" s="19">
        <f>H21+I21</f>
        <v/>
      </c>
      <c r="K21" s="18">
        <f>IF(E21=0,0,J21/E21)</f>
        <v/>
      </c>
    </row>
    <row r="22" ht="26" customHeight="1">
      <c r="A22" s="20" t="inlineStr">
        <is>
          <t>52446</t>
        </is>
      </c>
      <c r="B22" s="21" t="inlineStr">
        <is>
          <t>Limpeza e desobstrução de dispositivos de drenagem em OAE</t>
        </is>
      </c>
      <c r="C22" s="22" t="inlineStr">
        <is>
          <t>UND</t>
        </is>
      </c>
      <c r="D22" s="23" t="n">
        <v>1265000</v>
      </c>
      <c r="E22" s="24" t="n">
        <v>6653.9</v>
      </c>
      <c r="F22" s="23" t="n">
        <v>407000</v>
      </c>
      <c r="G22" s="25" t="n">
        <v>0.3217</v>
      </c>
      <c r="H22" s="24" t="n">
        <v>2140.82</v>
      </c>
      <c r="I22" s="24" t="n">
        <v>98.04000000000001</v>
      </c>
      <c r="J22" s="26">
        <f>H22+I22</f>
        <v/>
      </c>
      <c r="K22" s="25">
        <f>IF(E22=0,0,J22/E22)</f>
        <v/>
      </c>
    </row>
    <row r="23" ht="15" customHeight="1">
      <c r="A23" s="12" t="inlineStr">
        <is>
          <t>83154</t>
        </is>
      </c>
      <c r="B23" s="13" t="inlineStr">
        <is>
          <t>Caiação manual com fixador de cal</t>
        </is>
      </c>
      <c r="C23" s="14" t="inlineStr">
        <is>
          <t>M²</t>
        </is>
      </c>
      <c r="D23" s="17" t="n">
        <v>11601009</v>
      </c>
      <c r="E23" s="16" t="n">
        <v>37819.28</v>
      </c>
      <c r="F23" s="17" t="n">
        <v>8920450</v>
      </c>
      <c r="G23" s="18" t="n">
        <v>0.7689</v>
      </c>
      <c r="H23" s="16" t="n">
        <v>29080.62</v>
      </c>
      <c r="I23" s="16" t="n">
        <v>2011.09</v>
      </c>
      <c r="J23" s="19">
        <f>H23+I23</f>
        <v/>
      </c>
      <c r="K23" s="18">
        <f>IF(E23=0,0,J23/E23)</f>
        <v/>
      </c>
    </row>
    <row r="24" ht="15" customHeight="1">
      <c r="A24" s="20" t="inlineStr">
        <is>
          <t>86440</t>
        </is>
      </c>
      <c r="B24" s="21" t="inlineStr">
        <is>
          <t>Remoção manual de revestimento asfáltico</t>
        </is>
      </c>
      <c r="C24" s="22" t="inlineStr">
        <is>
          <t>M³</t>
        </is>
      </c>
      <c r="D24" s="23" t="n">
        <v>33137</v>
      </c>
      <c r="E24" s="24" t="n">
        <v>8728.940000000001</v>
      </c>
      <c r="F24" s="23" t="n">
        <v>0</v>
      </c>
      <c r="G24" s="25" t="n">
        <v>0</v>
      </c>
      <c r="H24" s="24" t="n">
        <v>0</v>
      </c>
      <c r="I24" s="24" t="n">
        <v>0</v>
      </c>
      <c r="J24" s="26">
        <f>H24+I24</f>
        <v/>
      </c>
      <c r="K24" s="25">
        <f>IF(E24=0,0,J24/E24)</f>
        <v/>
      </c>
    </row>
    <row r="25" ht="15" customHeight="1">
      <c r="A25" s="12" t="inlineStr">
        <is>
          <t>86884</t>
        </is>
      </c>
      <c r="B25" s="13" t="inlineStr">
        <is>
          <t>Remoção manual de vegetação daninha</t>
        </is>
      </c>
      <c r="C25" s="14" t="inlineStr">
        <is>
          <t>M²</t>
        </is>
      </c>
      <c r="D25" s="17" t="n">
        <v>1440400</v>
      </c>
      <c r="E25" s="16" t="n">
        <v>7576.5</v>
      </c>
      <c r="F25" s="17" t="n">
        <v>0</v>
      </c>
      <c r="G25" s="18" t="n">
        <v>0</v>
      </c>
      <c r="H25" s="16" t="n">
        <v>0</v>
      </c>
      <c r="I25" s="16" t="n">
        <v>0</v>
      </c>
      <c r="J25" s="19">
        <f>H25+I25</f>
        <v/>
      </c>
      <c r="K25" s="18">
        <f>IF(E25=0,0,J25/E25)</f>
        <v/>
      </c>
    </row>
    <row r="26" ht="26" customHeight="1">
      <c r="A26" s="20" t="inlineStr">
        <is>
          <t>91982</t>
        </is>
      </c>
      <c r="B26" s="21" t="inlineStr">
        <is>
          <t>Recomp. de guarda-corpo c/ agregados comerciais — instalação</t>
        </is>
      </c>
      <c r="C26" s="22" t="inlineStr">
        <is>
          <t>M</t>
        </is>
      </c>
      <c r="D26" s="23" t="n">
        <v>246000</v>
      </c>
      <c r="E26" s="24" t="n">
        <v>31716.78</v>
      </c>
      <c r="F26" s="23" t="n">
        <v>76000</v>
      </c>
      <c r="G26" s="25" t="n">
        <v>0.3089</v>
      </c>
      <c r="H26" s="24" t="n">
        <v>9798.68</v>
      </c>
      <c r="I26" s="24" t="n">
        <v>975.9400000000001</v>
      </c>
      <c r="J26" s="26">
        <f>H26+I26</f>
        <v/>
      </c>
      <c r="K26" s="25">
        <f>IF(E26=0,0,J26/E26)</f>
        <v/>
      </c>
    </row>
    <row r="27" ht="26" customHeight="1">
      <c r="A27" s="12" t="inlineStr">
        <is>
          <t>92940</t>
        </is>
      </c>
      <c r="B27" s="13" t="inlineStr">
        <is>
          <t>Argamassa p/ reparos e grauteamento — confecção em misturador</t>
        </is>
      </c>
      <c r="C27" s="14" t="inlineStr">
        <is>
          <t>M³</t>
        </is>
      </c>
      <c r="D27" s="17" t="n">
        <v>60299</v>
      </c>
      <c r="E27" s="16" t="n">
        <v>199701.24</v>
      </c>
      <c r="F27" s="17" t="n">
        <v>0</v>
      </c>
      <c r="G27" s="18" t="n">
        <v>0</v>
      </c>
      <c r="H27" s="16" t="n">
        <v>0</v>
      </c>
      <c r="I27" s="16" t="n">
        <v>0</v>
      </c>
      <c r="J27" s="19">
        <f>H27+I27</f>
        <v/>
      </c>
      <c r="K27" s="18">
        <f>IF(E27=0,0,J27/E27)</f>
        <v/>
      </c>
    </row>
    <row r="28" ht="26" customHeight="1">
      <c r="A28" s="20" t="inlineStr">
        <is>
          <t>92943</t>
        </is>
      </c>
      <c r="B28" s="21" t="inlineStr">
        <is>
          <t>Plataforma de trabalho em aço tubular — 6 a 8 m — 100 vezes</t>
        </is>
      </c>
      <c r="C28" s="22" t="inlineStr">
        <is>
          <t>M³</t>
        </is>
      </c>
      <c r="D28" s="23" t="n">
        <v>20306076</v>
      </c>
      <c r="E28" s="24" t="n">
        <v>250576.97</v>
      </c>
      <c r="F28" s="23" t="n">
        <v>7838100</v>
      </c>
      <c r="G28" s="25" t="n">
        <v>0.386</v>
      </c>
      <c r="H28" s="24" t="n">
        <v>96722.14</v>
      </c>
      <c r="I28" s="24" t="n">
        <v>1023.12</v>
      </c>
      <c r="J28" s="26">
        <f>H28+I28</f>
        <v/>
      </c>
      <c r="K28" s="25">
        <f>IF(E28=0,0,J28/E28)</f>
        <v/>
      </c>
    </row>
    <row r="29" ht="26" customHeight="1">
      <c r="A29" s="12" t="inlineStr">
        <is>
          <t>92944</t>
        </is>
      </c>
      <c r="B29" s="13" t="inlineStr">
        <is>
          <t>Recomp. de dreno em tubo de aço galv. D=80 mm em OAE</t>
        </is>
      </c>
      <c r="C29" s="14" t="inlineStr">
        <is>
          <t>UN</t>
        </is>
      </c>
      <c r="D29" s="17" t="n">
        <v>0</v>
      </c>
      <c r="E29" s="16" t="n">
        <v>0</v>
      </c>
      <c r="F29" s="17" t="n">
        <v>0</v>
      </c>
      <c r="G29" s="18" t="n">
        <v>0</v>
      </c>
      <c r="H29" s="16" t="n">
        <v>0</v>
      </c>
      <c r="I29" s="29" t="n">
        <v>-0.01</v>
      </c>
      <c r="J29" s="30">
        <f>H29+I29</f>
        <v/>
      </c>
      <c r="K29" s="18" t="n">
        <v>0</v>
      </c>
    </row>
    <row r="30" ht="26" customHeight="1">
      <c r="A30" s="20" t="inlineStr">
        <is>
          <t>95165</t>
        </is>
      </c>
      <c r="B30" s="21" t="inlineStr">
        <is>
          <t>Fornecimento e aplicação de adesivo estrutural — resina epóxi</t>
        </is>
      </c>
      <c r="C30" s="22" t="inlineStr">
        <is>
          <t>KG</t>
        </is>
      </c>
      <c r="D30" s="23" t="n">
        <v>58360</v>
      </c>
      <c r="E30" s="24" t="n">
        <v>4437.69</v>
      </c>
      <c r="F30" s="23" t="n">
        <v>0</v>
      </c>
      <c r="G30" s="25" t="n">
        <v>0</v>
      </c>
      <c r="H30" s="24" t="n">
        <v>0</v>
      </c>
      <c r="I30" s="24" t="n">
        <v>0</v>
      </c>
      <c r="J30" s="26">
        <f>H30+I30</f>
        <v/>
      </c>
      <c r="K30" s="25">
        <f>IF(E30=0,0,J30/E30)</f>
        <v/>
      </c>
    </row>
    <row r="31" ht="15" customHeight="1">
      <c r="A31" s="12" t="inlineStr">
        <is>
          <t>95938</t>
        </is>
      </c>
      <c r="B31" s="13" t="inlineStr">
        <is>
          <t>Apicoamento manual de concreto</t>
        </is>
      </c>
      <c r="C31" s="14" t="inlineStr">
        <is>
          <t>M²</t>
        </is>
      </c>
      <c r="D31" s="17" t="n">
        <v>583850</v>
      </c>
      <c r="E31" s="16" t="n">
        <v>13165.81</v>
      </c>
      <c r="F31" s="17" t="n">
        <v>0</v>
      </c>
      <c r="G31" s="18" t="n">
        <v>0</v>
      </c>
      <c r="H31" s="16" t="n">
        <v>0</v>
      </c>
      <c r="I31" s="16" t="n">
        <v>0</v>
      </c>
      <c r="J31" s="19">
        <f>H31+I31</f>
        <v/>
      </c>
      <c r="K31" s="18">
        <f>IF(E31=0,0,J31/E31)</f>
        <v/>
      </c>
    </row>
    <row r="32" ht="26" customHeight="1">
      <c r="A32" s="20" t="inlineStr">
        <is>
          <t>97364</t>
        </is>
      </c>
      <c r="B32" s="21" t="inlineStr">
        <is>
          <t>Bico de perfuração p/ injeção de adesivo — resina epóxi</t>
        </is>
      </c>
      <c r="C32" s="22" t="inlineStr">
        <is>
          <t>UN</t>
        </is>
      </c>
      <c r="D32" s="23" t="n">
        <v>830000</v>
      </c>
      <c r="E32" s="24" t="n">
        <v>6947.1</v>
      </c>
      <c r="F32" s="23" t="n">
        <v>0</v>
      </c>
      <c r="G32" s="25" t="n">
        <v>0</v>
      </c>
      <c r="H32" s="24" t="n">
        <v>0</v>
      </c>
      <c r="I32" s="24" t="n">
        <v>0</v>
      </c>
      <c r="J32" s="26">
        <f>H32+I32</f>
        <v/>
      </c>
      <c r="K32" s="25">
        <f>IF(E32=0,0,J32/E32)</f>
        <v/>
      </c>
    </row>
    <row r="33" ht="26" customHeight="1">
      <c r="A33" s="12" t="inlineStr">
        <is>
          <t>97365</t>
        </is>
      </c>
      <c r="B33" s="13" t="inlineStr">
        <is>
          <t>Selagem superficial de fissuras c/ adesivo — resina epóxi alta visc.</t>
        </is>
      </c>
      <c r="C33" s="14" t="inlineStr">
        <is>
          <t>KG</t>
        </is>
      </c>
      <c r="D33" s="17" t="n">
        <v>11250</v>
      </c>
      <c r="E33" s="16" t="n">
        <v>791.55</v>
      </c>
      <c r="F33" s="17" t="n">
        <v>0</v>
      </c>
      <c r="G33" s="18" t="n">
        <v>0</v>
      </c>
      <c r="H33" s="16" t="n">
        <v>0</v>
      </c>
      <c r="I33" s="16" t="n">
        <v>0</v>
      </c>
      <c r="J33" s="19">
        <f>H33+I33</f>
        <v/>
      </c>
      <c r="K33" s="18">
        <f>IF(E33=0,0,J33/E33)</f>
        <v/>
      </c>
    </row>
    <row r="34" ht="26" customHeight="1">
      <c r="A34" s="20" t="inlineStr">
        <is>
          <t>97472</t>
        </is>
      </c>
      <c r="B34" s="21" t="inlineStr">
        <is>
          <t>Concreto FCK=30 MPa — confecção e lançamento manual</t>
        </is>
      </c>
      <c r="C34" s="22" t="inlineStr">
        <is>
          <t>M³</t>
        </is>
      </c>
      <c r="D34" s="23" t="n">
        <v>0</v>
      </c>
      <c r="E34" s="24" t="n">
        <v>0</v>
      </c>
      <c r="F34" s="23" t="n">
        <v>0</v>
      </c>
      <c r="G34" s="25" t="n">
        <v>0</v>
      </c>
      <c r="H34" s="24" t="n">
        <v>0</v>
      </c>
      <c r="I34" s="24" t="n">
        <v>0</v>
      </c>
      <c r="J34" s="26">
        <f>H34+I34</f>
        <v/>
      </c>
      <c r="K34" s="25" t="n">
        <v>0</v>
      </c>
    </row>
    <row r="35" ht="26" customHeight="1">
      <c r="A35" s="12" t="inlineStr">
        <is>
          <t>97473</t>
        </is>
      </c>
      <c r="B35" s="13" t="inlineStr">
        <is>
          <t>Concreto projetado via seca FCK=30 MPa — superf. inclinadas</t>
        </is>
      </c>
      <c r="C35" s="14" t="inlineStr">
        <is>
          <t>M³</t>
        </is>
      </c>
      <c r="D35" s="17" t="n">
        <v>31400</v>
      </c>
      <c r="E35" s="16" t="n">
        <v>29751.5</v>
      </c>
      <c r="F35" s="17" t="n">
        <v>0</v>
      </c>
      <c r="G35" s="18" t="n">
        <v>0</v>
      </c>
      <c r="H35" s="16" t="n">
        <v>0</v>
      </c>
      <c r="I35" s="16" t="n">
        <v>0</v>
      </c>
      <c r="J35" s="19">
        <f>H35+I35</f>
        <v/>
      </c>
      <c r="K35" s="18">
        <f>IF(E35=0,0,J35/E35)</f>
        <v/>
      </c>
    </row>
    <row r="36" ht="15" customHeight="1">
      <c r="A36" s="20" t="inlineStr">
        <is>
          <t>97474</t>
        </is>
      </c>
      <c r="B36" s="21" t="inlineStr">
        <is>
          <t>Concreto projetado via seca FCK=30 MPa — teto</t>
        </is>
      </c>
      <c r="C36" s="22" t="inlineStr">
        <is>
          <t>M³</t>
        </is>
      </c>
      <c r="D36" s="23" t="n">
        <v>51200</v>
      </c>
      <c r="E36" s="24" t="n">
        <v>72326.64999999999</v>
      </c>
      <c r="F36" s="23" t="n">
        <v>0</v>
      </c>
      <c r="G36" s="25" t="n">
        <v>0</v>
      </c>
      <c r="H36" s="24" t="n">
        <v>0</v>
      </c>
      <c r="I36" s="24" t="n">
        <v>0</v>
      </c>
      <c r="J36" s="26">
        <f>H36+I36</f>
        <v/>
      </c>
      <c r="K36" s="25">
        <f>IF(E36=0,0,J36/E36)</f>
        <v/>
      </c>
    </row>
    <row r="37" ht="26" customHeight="1">
      <c r="A37" s="12" t="inlineStr">
        <is>
          <t>97477</t>
        </is>
      </c>
      <c r="B37" s="13" t="inlineStr">
        <is>
          <t>Perfuração em concreto c/ coroa diamantada — D=20 mm</t>
        </is>
      </c>
      <c r="C37" s="14" t="inlineStr">
        <is>
          <t>M</t>
        </is>
      </c>
      <c r="D37" s="17" t="n">
        <v>102000</v>
      </c>
      <c r="E37" s="16" t="n">
        <v>11730</v>
      </c>
      <c r="F37" s="17" t="n">
        <v>0</v>
      </c>
      <c r="G37" s="18" t="n">
        <v>0</v>
      </c>
      <c r="H37" s="16" t="n">
        <v>0</v>
      </c>
      <c r="I37" s="16" t="n">
        <v>0</v>
      </c>
      <c r="J37" s="19">
        <f>H37+I37</f>
        <v/>
      </c>
      <c r="K37" s="18">
        <f>IF(E37=0,0,J37/E37)</f>
        <v/>
      </c>
    </row>
    <row r="38" ht="26" customHeight="1">
      <c r="A38" s="20" t="inlineStr">
        <is>
          <t>97479</t>
        </is>
      </c>
      <c r="B38" s="21" t="inlineStr">
        <is>
          <t>Pintura c/ tinta anticorrosiva epóxi poliamida — 2 comp.</t>
        </is>
      </c>
      <c r="C38" s="22" t="inlineStr">
        <is>
          <t>M²</t>
        </is>
      </c>
      <c r="D38" s="23" t="n">
        <v>0</v>
      </c>
      <c r="E38" s="24" t="n">
        <v>0</v>
      </c>
      <c r="F38" s="23" t="n">
        <v>0</v>
      </c>
      <c r="G38" s="25" t="n">
        <v>0</v>
      </c>
      <c r="H38" s="24" t="n">
        <v>1417.9</v>
      </c>
      <c r="I38" s="24" t="n">
        <v>53.88</v>
      </c>
      <c r="J38" s="26">
        <f>H38+I38</f>
        <v/>
      </c>
      <c r="K38" s="25" t="n">
        <v>0</v>
      </c>
    </row>
    <row r="39" ht="15" customHeight="1">
      <c r="A39" s="12" t="inlineStr">
        <is>
          <t>97480</t>
        </is>
      </c>
      <c r="B39" s="13" t="inlineStr">
        <is>
          <t>Fôrmas de compensado plastificado 10 mm — 3 vezes</t>
        </is>
      </c>
      <c r="C39" s="14" t="inlineStr">
        <is>
          <t>M²</t>
        </is>
      </c>
      <c r="D39" s="17" t="n">
        <v>0</v>
      </c>
      <c r="E39" s="16" t="n">
        <v>0</v>
      </c>
      <c r="F39" s="17" t="n">
        <v>0</v>
      </c>
      <c r="G39" s="18" t="n">
        <v>0</v>
      </c>
      <c r="H39" s="16" t="n">
        <v>4149.52</v>
      </c>
      <c r="I39" s="16" t="n">
        <v>157.68</v>
      </c>
      <c r="J39" s="19">
        <f>H39+I39</f>
        <v/>
      </c>
      <c r="K39" s="18" t="n">
        <v>0</v>
      </c>
    </row>
    <row r="40" ht="26" customHeight="1">
      <c r="A40" s="20" t="inlineStr">
        <is>
          <t>97482</t>
        </is>
      </c>
      <c r="B40" s="21" t="inlineStr">
        <is>
          <t>Limpeza em superf. de concreto c/ jateamento d'água sob pressão</t>
        </is>
      </c>
      <c r="C40" s="22" t="inlineStr">
        <is>
          <t>M²</t>
        </is>
      </c>
      <c r="D40" s="23" t="n">
        <v>0</v>
      </c>
      <c r="E40" s="24" t="n">
        <v>0</v>
      </c>
      <c r="F40" s="23" t="n">
        <v>0</v>
      </c>
      <c r="G40" s="25" t="n">
        <v>0</v>
      </c>
      <c r="H40" s="24" t="n">
        <v>170473.9</v>
      </c>
      <c r="I40" s="24" t="n">
        <v>7483.63</v>
      </c>
      <c r="J40" s="26">
        <f>H40+I40</f>
        <v/>
      </c>
      <c r="K40" s="25" t="n">
        <v>0</v>
      </c>
    </row>
    <row r="41" ht="26" customHeight="1">
      <c r="A41" s="12" t="inlineStr">
        <is>
          <t>97486</t>
        </is>
      </c>
      <c r="B41" s="13" t="inlineStr">
        <is>
          <t>Restauração de berços de apoio p/ junta de dilatação</t>
        </is>
      </c>
      <c r="C41" s="14" t="inlineStr">
        <is>
          <t>M</t>
        </is>
      </c>
      <c r="D41" s="17" t="n">
        <v>1746700</v>
      </c>
      <c r="E41" s="16" t="n">
        <v>2985284.97</v>
      </c>
      <c r="F41" s="17" t="n">
        <v>725550</v>
      </c>
      <c r="G41" s="18" t="n">
        <v>0.4154</v>
      </c>
      <c r="H41" s="16" t="n">
        <v>1240037.51</v>
      </c>
      <c r="I41" s="16" t="n">
        <v>31579.49</v>
      </c>
      <c r="J41" s="19">
        <f>H41+I41</f>
        <v/>
      </c>
      <c r="K41" s="18">
        <f>IF(E41=0,0,J41/E41)</f>
        <v/>
      </c>
    </row>
    <row r="42" ht="26" customHeight="1">
      <c r="A42" s="20" t="inlineStr">
        <is>
          <t>97488</t>
        </is>
      </c>
      <c r="B42" s="21" t="inlineStr">
        <is>
          <t>Remoção de concreto c/ jateamento d'água sob alta pressão</t>
        </is>
      </c>
      <c r="C42" s="22" t="inlineStr">
        <is>
          <t>M³</t>
        </is>
      </c>
      <c r="D42" s="23" t="n">
        <v>25780</v>
      </c>
      <c r="E42" s="24" t="n">
        <v>8518.48</v>
      </c>
      <c r="F42" s="23" t="n">
        <v>0</v>
      </c>
      <c r="G42" s="25" t="n">
        <v>0</v>
      </c>
      <c r="H42" s="24" t="n">
        <v>0</v>
      </c>
      <c r="I42" s="24" t="n">
        <v>0</v>
      </c>
      <c r="J42" s="26">
        <f>H42+I42</f>
        <v/>
      </c>
      <c r="K42" s="25">
        <f>IF(E42=0,0,J42/E42)</f>
        <v/>
      </c>
    </row>
    <row r="43" ht="15" customHeight="1">
      <c r="A43" s="12" t="inlineStr">
        <is>
          <t>97489</t>
        </is>
      </c>
      <c r="B43" s="13" t="inlineStr">
        <is>
          <t>Demolição controlada de concreto com martelete</t>
        </is>
      </c>
      <c r="C43" s="14" t="inlineStr">
        <is>
          <t>M³</t>
        </is>
      </c>
      <c r="D43" s="17" t="n">
        <v>27750</v>
      </c>
      <c r="E43" s="16" t="n">
        <v>12926.22</v>
      </c>
      <c r="F43" s="17" t="n">
        <v>984</v>
      </c>
      <c r="G43" s="18" t="n">
        <v>0.0355</v>
      </c>
      <c r="H43" s="16" t="n">
        <v>458.35</v>
      </c>
      <c r="I43" s="16" t="n">
        <v>17.41</v>
      </c>
      <c r="J43" s="19">
        <f>H43+I43</f>
        <v/>
      </c>
      <c r="K43" s="18">
        <f>IF(E43=0,0,J43/E43)</f>
        <v/>
      </c>
    </row>
    <row r="44" ht="26" customHeight="1">
      <c r="A44" s="20" t="inlineStr">
        <is>
          <t>97492</t>
        </is>
      </c>
      <c r="B44" s="21" t="inlineStr">
        <is>
          <t>Limpeza e remoção manual de material retido em OAE</t>
        </is>
      </c>
      <c r="C44" s="22" t="inlineStr">
        <is>
          <t>M³</t>
        </is>
      </c>
      <c r="D44" s="23" t="n">
        <v>96200</v>
      </c>
      <c r="E44" s="24" t="n">
        <v>2533.9</v>
      </c>
      <c r="F44" s="23" t="n">
        <v>0</v>
      </c>
      <c r="G44" s="25" t="n">
        <v>0</v>
      </c>
      <c r="H44" s="24" t="n">
        <v>0</v>
      </c>
      <c r="I44" s="24" t="n">
        <v>0</v>
      </c>
      <c r="J44" s="26">
        <f>H44+I44</f>
        <v/>
      </c>
      <c r="K44" s="25">
        <f>IF(E44=0,0,J44/E44)</f>
        <v/>
      </c>
    </row>
    <row r="45" ht="26" customHeight="1">
      <c r="A45" s="12" t="inlineStr">
        <is>
          <t>97493</t>
        </is>
      </c>
      <c r="B45" s="13" t="inlineStr">
        <is>
          <t>Injeção de adesivo estrutural — epóxi baixa visc. — fissuras</t>
        </is>
      </c>
      <c r="C45" s="14" t="inlineStr">
        <is>
          <t>KG</t>
        </is>
      </c>
      <c r="D45" s="17" t="n">
        <v>59500</v>
      </c>
      <c r="E45" s="16" t="n">
        <v>14925.57</v>
      </c>
      <c r="F45" s="17" t="n">
        <v>0</v>
      </c>
      <c r="G45" s="18" t="n">
        <v>0</v>
      </c>
      <c r="H45" s="16" t="n">
        <v>0</v>
      </c>
      <c r="I45" s="16" t="n">
        <v>0</v>
      </c>
      <c r="J45" s="19">
        <f>H45+I45</f>
        <v/>
      </c>
      <c r="K45" s="18">
        <f>IF(E45=0,0,J45/E45)</f>
        <v/>
      </c>
    </row>
    <row r="46" ht="26" customHeight="1">
      <c r="A46" s="20" t="inlineStr">
        <is>
          <t>97799</t>
        </is>
      </c>
      <c r="B46" s="21" t="inlineStr">
        <is>
          <t>Plataforma de trabalho — aço tubular — 4 a 6 m — 100 vezes</t>
        </is>
      </c>
      <c r="C46" s="22" t="inlineStr">
        <is>
          <t>M³</t>
        </is>
      </c>
      <c r="D46" s="23" t="n">
        <v>0</v>
      </c>
      <c r="E46" s="24" t="n">
        <v>0</v>
      </c>
      <c r="F46" s="23" t="n">
        <v>0</v>
      </c>
      <c r="G46" s="25" t="n">
        <v>0</v>
      </c>
      <c r="H46" s="24" t="n">
        <v>837279.97</v>
      </c>
      <c r="I46" s="24" t="n">
        <v>8467.93</v>
      </c>
      <c r="J46" s="26">
        <f>H46+I46</f>
        <v/>
      </c>
      <c r="K46" s="25" t="n">
        <v>0</v>
      </c>
    </row>
    <row r="47" ht="26" customHeight="1">
      <c r="A47" s="12" t="inlineStr">
        <is>
          <t>97804</t>
        </is>
      </c>
      <c r="B47" s="13" t="inlineStr">
        <is>
          <t>Armação em aço CA/50 — fornec., preparo e colocação</t>
        </is>
      </c>
      <c r="C47" s="14" t="inlineStr">
        <is>
          <t>KG</t>
        </is>
      </c>
      <c r="D47" s="17" t="n">
        <v>3235100</v>
      </c>
      <c r="E47" s="16" t="n">
        <v>44191.46</v>
      </c>
      <c r="F47" s="17" t="n">
        <v>0</v>
      </c>
      <c r="G47" s="18" t="n">
        <v>0</v>
      </c>
      <c r="H47" s="16" t="n">
        <v>0</v>
      </c>
      <c r="I47" s="16" t="n">
        <v>0</v>
      </c>
      <c r="J47" s="19">
        <f>H47+I47</f>
        <v/>
      </c>
      <c r="K47" s="18">
        <f>IF(E47=0,0,J47/E47)</f>
        <v/>
      </c>
    </row>
    <row r="48" ht="26" customHeight="1">
      <c r="A48" s="20" t="inlineStr">
        <is>
          <t>97895</t>
        </is>
      </c>
      <c r="B48" s="21" t="inlineStr">
        <is>
          <t>Limpeza de aparelhos de apoio em OAE — exclusa plataforma</t>
        </is>
      </c>
      <c r="C48" s="22" t="inlineStr">
        <is>
          <t>UND</t>
        </is>
      </c>
      <c r="D48" s="23" t="n">
        <v>809000</v>
      </c>
      <c r="E48" s="24" t="n">
        <v>80034.37</v>
      </c>
      <c r="F48" s="23" t="n">
        <v>644000</v>
      </c>
      <c r="G48" s="25" t="n">
        <v>0.7959999999999999</v>
      </c>
      <c r="H48" s="24" t="n">
        <v>63710.92</v>
      </c>
      <c r="I48" s="24" t="n">
        <v>971.0599999999999</v>
      </c>
      <c r="J48" s="26">
        <f>H48+I48</f>
        <v/>
      </c>
      <c r="K48" s="25">
        <f>IF(E48=0,0,J48/E48)</f>
        <v/>
      </c>
    </row>
    <row r="49" ht="15" customHeight="1">
      <c r="A49" s="12" t="inlineStr">
        <is>
          <t>99278</t>
        </is>
      </c>
      <c r="B49" s="13" t="inlineStr">
        <is>
          <t>Fôrma metálica curva em chapa 3/16" — 100 vezes</t>
        </is>
      </c>
      <c r="C49" s="14" t="inlineStr">
        <is>
          <t>M²</t>
        </is>
      </c>
      <c r="D49" s="17" t="n">
        <v>8000</v>
      </c>
      <c r="E49" s="16" t="n">
        <v>171.76</v>
      </c>
      <c r="F49" s="17" t="n">
        <v>0</v>
      </c>
      <c r="G49" s="18" t="n">
        <v>0</v>
      </c>
      <c r="H49" s="16" t="n">
        <v>0</v>
      </c>
      <c r="I49" s="16" t="n">
        <v>0</v>
      </c>
      <c r="J49" s="19">
        <f>H49+I49</f>
        <v/>
      </c>
      <c r="K49" s="18">
        <f>IF(E49=0,0,J49/E49)</f>
        <v/>
      </c>
    </row>
    <row r="50" ht="26" customHeight="1">
      <c r="A50" s="20" t="inlineStr">
        <is>
          <t>99279</t>
        </is>
      </c>
      <c r="B50" s="21" t="inlineStr">
        <is>
          <t>Pingadeira de elastômero 40x40 mm c/ aba — fornec. e instal.</t>
        </is>
      </c>
      <c r="C50" s="22" t="inlineStr">
        <is>
          <t>M</t>
        </is>
      </c>
      <c r="D50" s="23" t="n">
        <v>0</v>
      </c>
      <c r="E50" s="24" t="n">
        <v>0</v>
      </c>
      <c r="F50" s="23" t="n">
        <v>0</v>
      </c>
      <c r="G50" s="25" t="n">
        <v>0</v>
      </c>
      <c r="H50" s="24" t="n">
        <v>1068970</v>
      </c>
      <c r="I50" s="24" t="n">
        <v>44488.04</v>
      </c>
      <c r="J50" s="26">
        <f>H50+I50</f>
        <v/>
      </c>
      <c r="K50" s="25" t="n">
        <v>0</v>
      </c>
    </row>
    <row r="51" ht="26" customHeight="1">
      <c r="A51" s="12" t="inlineStr">
        <is>
          <t>99280</t>
        </is>
      </c>
      <c r="B51" s="13" t="inlineStr">
        <is>
          <t>Plataforma suspensa sob tabuleiro de pontes — treliças — 100 vezes</t>
        </is>
      </c>
      <c r="C51" s="14" t="inlineStr">
        <is>
          <t>M²</t>
        </is>
      </c>
      <c r="D51" s="17" t="n">
        <v>0</v>
      </c>
      <c r="E51" s="16" t="n">
        <v>0</v>
      </c>
      <c r="F51" s="17" t="n">
        <v>0</v>
      </c>
      <c r="G51" s="18" t="n">
        <v>0</v>
      </c>
      <c r="H51" s="16" t="n">
        <v>1060801.72</v>
      </c>
      <c r="I51" s="16" t="n">
        <v>12303.97</v>
      </c>
      <c r="J51" s="19">
        <f>H51+I51</f>
        <v/>
      </c>
      <c r="K51" s="18" t="n">
        <v>0</v>
      </c>
    </row>
    <row r="52" ht="26" customHeight="1">
      <c r="A52" s="20" t="inlineStr">
        <is>
          <t>99281</t>
        </is>
      </c>
      <c r="B52" s="21" t="inlineStr">
        <is>
          <t>Recomp. de dreno em tubo aço galv. D=100 mm em OAE</t>
        </is>
      </c>
      <c r="C52" s="22" t="inlineStr">
        <is>
          <t>UND</t>
        </is>
      </c>
      <c r="D52" s="23" t="n">
        <v>0</v>
      </c>
      <c r="E52" s="24" t="n">
        <v>0</v>
      </c>
      <c r="F52" s="23" t="n">
        <v>0</v>
      </c>
      <c r="G52" s="25" t="n">
        <v>0</v>
      </c>
      <c r="H52" s="24" t="n">
        <v>14594.28</v>
      </c>
      <c r="I52" s="24" t="n">
        <v>154.18</v>
      </c>
      <c r="J52" s="26">
        <f>H52+I52</f>
        <v/>
      </c>
      <c r="K52" s="25" t="n">
        <v>0</v>
      </c>
    </row>
    <row r="53" ht="15" customHeight="1">
      <c r="A53" s="12" t="inlineStr">
        <is>
          <t>395000</t>
        </is>
      </c>
      <c r="B53" s="13" t="inlineStr">
        <is>
          <t>Limpeza de ponte</t>
        </is>
      </c>
      <c r="C53" s="14" t="inlineStr">
        <is>
          <t>M</t>
        </is>
      </c>
      <c r="D53" s="17" t="n">
        <v>4780230</v>
      </c>
      <c r="E53" s="16" t="n">
        <v>25144</v>
      </c>
      <c r="F53" s="17" t="n">
        <v>2907180</v>
      </c>
      <c r="G53" s="18" t="n">
        <v>0.6082</v>
      </c>
      <c r="H53" s="16" t="n">
        <v>15291.74</v>
      </c>
      <c r="I53" s="16" t="n">
        <v>1167.92</v>
      </c>
      <c r="J53" s="19">
        <f>H53+I53</f>
        <v/>
      </c>
      <c r="K53" s="18">
        <f>IF(E53=0,0,J53/E53)</f>
        <v/>
      </c>
    </row>
    <row r="54" ht="15" customHeight="1">
      <c r="A54" s="20" t="inlineStr">
        <is>
          <t>890000</t>
        </is>
      </c>
      <c r="B54" s="21" t="inlineStr">
        <is>
          <t>Roçada manual</t>
        </is>
      </c>
      <c r="C54" s="22" t="inlineStr">
        <is>
          <t>HA</t>
        </is>
      </c>
      <c r="D54" s="31" t="n">
        <v>0.712</v>
      </c>
      <c r="E54" s="24" t="n">
        <v>1579.55</v>
      </c>
      <c r="F54" s="23" t="n">
        <v>0</v>
      </c>
      <c r="G54" s="25" t="n">
        <v>0</v>
      </c>
      <c r="H54" s="24" t="n">
        <v>0</v>
      </c>
      <c r="I54" s="24" t="n">
        <v>0</v>
      </c>
      <c r="J54" s="26">
        <f>H54+I54</f>
        <v/>
      </c>
      <c r="K54" s="25">
        <f>IF(E54=0,0,J54/E54)</f>
        <v/>
      </c>
    </row>
    <row r="55" ht="20" customHeight="1">
      <c r="A55" s="32" t="inlineStr">
        <is>
          <t>Subtotal 1.0</t>
        </is>
      </c>
      <c r="B55" s="33" t="n"/>
      <c r="C55" s="33" t="n"/>
      <c r="D55" s="33" t="n"/>
      <c r="E55" s="34">
        <f>SUM(E15:E54)</f>
        <v/>
      </c>
      <c r="F55" s="33" t="n"/>
      <c r="G55" s="33" t="n"/>
      <c r="H55" s="34">
        <f>SUM(H15:H54)</f>
        <v/>
      </c>
      <c r="I55" s="34">
        <f>SUM(I15:I54)</f>
        <v/>
      </c>
      <c r="J55" s="34">
        <f>SUM(J15:J54)</f>
        <v/>
      </c>
      <c r="K55" s="35">
        <f>IF(E55=0,0,J55/E55)</f>
        <v/>
      </c>
    </row>
    <row r="56" ht="20" customHeight="1">
      <c r="A56" s="11" t="inlineStr">
        <is>
          <t>1.1 — SERV. MANUTENÇÃO — PREÇO C/ DESC. P/REEQUILÍBRIO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 ht="15" customHeight="1">
      <c r="A57" s="12" t="inlineStr">
        <is>
          <t>11983</t>
        </is>
      </c>
      <c r="B57" s="13" t="inlineStr">
        <is>
          <t>Contenção em areia-cimento ensacada — 8% cimento</t>
        </is>
      </c>
      <c r="C57" s="14" t="inlineStr">
        <is>
          <t>M³</t>
        </is>
      </c>
      <c r="D57" s="17" t="n">
        <v>20000</v>
      </c>
      <c r="E57" s="16" t="n">
        <v>8737</v>
      </c>
      <c r="F57" s="17" t="n">
        <v>0</v>
      </c>
      <c r="G57" s="18" t="n">
        <v>0</v>
      </c>
      <c r="H57" s="16" t="n">
        <v>0</v>
      </c>
      <c r="I57" s="16" t="n">
        <v>0</v>
      </c>
      <c r="J57" s="19">
        <f>H57+I57</f>
        <v/>
      </c>
      <c r="K57" s="18">
        <f>IF(E57=0,0,J57/E57)</f>
        <v/>
      </c>
    </row>
    <row r="58" ht="26" customHeight="1">
      <c r="A58" s="20" t="inlineStr">
        <is>
          <t>49946</t>
        </is>
      </c>
      <c r="B58" s="21" t="inlineStr">
        <is>
          <t>Pedra argamassada c/ cimento e areia 1:3 — fornec. e assent.</t>
        </is>
      </c>
      <c r="C58" s="22" t="inlineStr">
        <is>
          <t>M³</t>
        </is>
      </c>
      <c r="D58" s="23" t="n">
        <v>270000</v>
      </c>
      <c r="E58" s="24" t="n">
        <v>98693.10000000001</v>
      </c>
      <c r="F58" s="23" t="n">
        <v>120000</v>
      </c>
      <c r="G58" s="25" t="n">
        <v>0.4444</v>
      </c>
      <c r="H58" s="24" t="n">
        <v>43863.6</v>
      </c>
      <c r="I58" s="24" t="n">
        <v>1666.81</v>
      </c>
      <c r="J58" s="26">
        <f>H58+I58</f>
        <v/>
      </c>
      <c r="K58" s="25">
        <f>IF(E58=0,0,J58/E58)</f>
        <v/>
      </c>
    </row>
    <row r="59" ht="26" customHeight="1">
      <c r="A59" s="12" t="inlineStr">
        <is>
          <t>50281</t>
        </is>
      </c>
      <c r="B59" s="13" t="inlineStr">
        <is>
          <t>Recomp. de erosão em corte ou aterro c/ material de jazida</t>
        </is>
      </c>
      <c r="C59" s="14" t="inlineStr">
        <is>
          <t>M³</t>
        </is>
      </c>
      <c r="D59" s="17" t="n">
        <v>75000</v>
      </c>
      <c r="E59" s="16" t="n">
        <v>1620.75</v>
      </c>
      <c r="F59" s="17" t="n">
        <v>0</v>
      </c>
      <c r="G59" s="18" t="n">
        <v>0</v>
      </c>
      <c r="H59" s="16" t="n">
        <v>0</v>
      </c>
      <c r="I59" s="16" t="n">
        <v>0</v>
      </c>
      <c r="J59" s="19">
        <f>H59+I59</f>
        <v/>
      </c>
      <c r="K59" s="18">
        <f>IF(E59=0,0,J59/E59)</f>
        <v/>
      </c>
    </row>
    <row r="60" ht="15" customHeight="1">
      <c r="A60" s="20" t="inlineStr">
        <is>
          <t>51114</t>
        </is>
      </c>
      <c r="B60" s="21" t="inlineStr">
        <is>
          <t>Pintura manual com nata de cimento — 3 demãos</t>
        </is>
      </c>
      <c r="C60" s="22" t="inlineStr">
        <is>
          <t>M²</t>
        </is>
      </c>
      <c r="D60" s="23" t="n">
        <v>180214190</v>
      </c>
      <c r="E60" s="24" t="n">
        <v>944322.35</v>
      </c>
      <c r="F60" s="23" t="n">
        <v>124552502</v>
      </c>
      <c r="G60" s="25" t="n">
        <v>0.6911</v>
      </c>
      <c r="H60" s="24" t="n">
        <v>652655.09</v>
      </c>
      <c r="I60" s="24" t="n">
        <v>69427.5</v>
      </c>
      <c r="J60" s="26">
        <f>H60+I60</f>
        <v/>
      </c>
      <c r="K60" s="25">
        <f>IF(E60=0,0,J60/E60)</f>
        <v/>
      </c>
    </row>
    <row r="61" ht="26" customHeight="1">
      <c r="A61" s="12" t="inlineStr">
        <is>
          <t>92942</t>
        </is>
      </c>
      <c r="B61" s="13" t="inlineStr">
        <is>
          <t>Plataforma de trabalho — aço tubular — até 4 m — 100 vezes</t>
        </is>
      </c>
      <c r="C61" s="14" t="inlineStr">
        <is>
          <t>M³</t>
        </is>
      </c>
      <c r="D61" s="17" t="n">
        <v>1206000</v>
      </c>
      <c r="E61" s="16" t="n">
        <v>45622.98</v>
      </c>
      <c r="F61" s="17" t="n">
        <v>0</v>
      </c>
      <c r="G61" s="18" t="n">
        <v>0</v>
      </c>
      <c r="H61" s="16" t="n">
        <v>0</v>
      </c>
      <c r="I61" s="16" t="n">
        <v>0</v>
      </c>
      <c r="J61" s="19">
        <f>H61+I61</f>
        <v/>
      </c>
      <c r="K61" s="18">
        <f>IF(E61=0,0,J61/E61)</f>
        <v/>
      </c>
    </row>
    <row r="62" ht="26" customHeight="1">
      <c r="A62" s="20" t="inlineStr">
        <is>
          <t>92944</t>
        </is>
      </c>
      <c r="B62" s="21" t="inlineStr">
        <is>
          <t>Recomp. de dreno em tubo aço galv. D=80 mm — fornec. e instal.</t>
        </is>
      </c>
      <c r="C62" s="22" t="inlineStr">
        <is>
          <t>UN</t>
        </is>
      </c>
      <c r="D62" s="23" t="n">
        <v>2592000</v>
      </c>
      <c r="E62" s="24" t="n">
        <v>219386.88</v>
      </c>
      <c r="F62" s="23" t="n">
        <v>32000</v>
      </c>
      <c r="G62" s="25" t="n">
        <v>0.0123</v>
      </c>
      <c r="H62" s="24" t="n">
        <v>2708.48</v>
      </c>
      <c r="I62" s="24" t="n">
        <v>31.95</v>
      </c>
      <c r="J62" s="26">
        <f>H62+I62</f>
        <v/>
      </c>
      <c r="K62" s="25">
        <f>IF(E62=0,0,J62/E62)</f>
        <v/>
      </c>
    </row>
    <row r="63" ht="26" customHeight="1">
      <c r="A63" s="12" t="inlineStr">
        <is>
          <t>97472</t>
        </is>
      </c>
      <c r="B63" s="13" t="inlineStr">
        <is>
          <t>Concreto FCK=30 MPa — confecção e lançamento manual</t>
        </is>
      </c>
      <c r="C63" s="14" t="inlineStr">
        <is>
          <t>M³</t>
        </is>
      </c>
      <c r="D63" s="17" t="n">
        <v>72364</v>
      </c>
      <c r="E63" s="16" t="n">
        <v>31020.27</v>
      </c>
      <c r="F63" s="17" t="n">
        <v>3444</v>
      </c>
      <c r="G63" s="18" t="n">
        <v>0.0476</v>
      </c>
      <c r="H63" s="16" t="n">
        <v>1476.33</v>
      </c>
      <c r="I63" s="16" t="n">
        <v>56.1</v>
      </c>
      <c r="J63" s="19">
        <f>H63+I63</f>
        <v/>
      </c>
      <c r="K63" s="18">
        <f>IF(E63=0,0,J63/E63)</f>
        <v/>
      </c>
    </row>
    <row r="64" ht="26" customHeight="1">
      <c r="A64" s="20" t="inlineStr">
        <is>
          <t>97479</t>
        </is>
      </c>
      <c r="B64" s="21" t="inlineStr">
        <is>
          <t>Pintura anticorrosiva epóxi poliamida — 2 comp. — 150 µm</t>
        </is>
      </c>
      <c r="C64" s="22" t="inlineStr">
        <is>
          <t>M²</t>
        </is>
      </c>
      <c r="D64" s="23" t="n">
        <v>332850</v>
      </c>
      <c r="E64" s="24" t="n">
        <v>4290.43</v>
      </c>
      <c r="F64" s="23" t="n">
        <v>110000</v>
      </c>
      <c r="G64" s="25" t="n">
        <v>0.3305</v>
      </c>
      <c r="H64" s="24" t="n">
        <v>1417.9</v>
      </c>
      <c r="I64" s="24" t="n">
        <v>53.88</v>
      </c>
      <c r="J64" s="26">
        <f>H64+I64</f>
        <v/>
      </c>
      <c r="K64" s="25">
        <f>IF(E64=0,0,J64/E64)</f>
        <v/>
      </c>
    </row>
    <row r="65" ht="15" customHeight="1">
      <c r="A65" s="12" t="inlineStr">
        <is>
          <t>97480</t>
        </is>
      </c>
      <c r="B65" s="13" t="inlineStr">
        <is>
          <t>Fôrmas compensado plastificado 10 mm — 3 vezes</t>
        </is>
      </c>
      <c r="C65" s="14" t="inlineStr">
        <is>
          <t>M²</t>
        </is>
      </c>
      <c r="D65" s="17" t="n">
        <v>485160</v>
      </c>
      <c r="E65" s="16" t="n">
        <v>40918.39</v>
      </c>
      <c r="F65" s="17" t="n">
        <v>49200</v>
      </c>
      <c r="G65" s="18" t="n">
        <v>0.1014</v>
      </c>
      <c r="H65" s="16" t="n">
        <v>4149.52</v>
      </c>
      <c r="I65" s="16" t="n">
        <v>157.68</v>
      </c>
      <c r="J65" s="19">
        <f>H65+I65</f>
        <v/>
      </c>
      <c r="K65" s="18">
        <f>IF(E65=0,0,J65/E65)</f>
        <v/>
      </c>
    </row>
    <row r="66" ht="26" customHeight="1">
      <c r="A66" s="20" t="inlineStr">
        <is>
          <t>97482</t>
        </is>
      </c>
      <c r="B66" s="21" t="inlineStr">
        <is>
          <t>Limpeza superf. concreto — jateamento d'água sob pressão</t>
        </is>
      </c>
      <c r="C66" s="22" t="inlineStr">
        <is>
          <t>M²</t>
        </is>
      </c>
      <c r="D66" s="23" t="n">
        <v>179768830</v>
      </c>
      <c r="E66" s="24" t="n">
        <v>267855.55</v>
      </c>
      <c r="F66" s="23" t="n">
        <v>114412039</v>
      </c>
      <c r="G66" s="25" t="n">
        <v>0.6364</v>
      </c>
      <c r="H66" s="24" t="n">
        <v>170473.9</v>
      </c>
      <c r="I66" s="24" t="n">
        <v>7483.63</v>
      </c>
      <c r="J66" s="26">
        <f>H66+I66</f>
        <v/>
      </c>
      <c r="K66" s="25">
        <f>IF(E66=0,0,J66/E66)</f>
        <v/>
      </c>
    </row>
    <row r="67" ht="26" customHeight="1">
      <c r="A67" s="12" t="inlineStr">
        <is>
          <t>97799</t>
        </is>
      </c>
      <c r="B67" s="13" t="inlineStr">
        <is>
          <t>Plataforma de trabalho — aço tubular — 4 a 6 m — 100 vezes</t>
        </is>
      </c>
      <c r="C67" s="14" t="inlineStr">
        <is>
          <t>M³</t>
        </is>
      </c>
      <c r="D67" s="17" t="n">
        <v>54463210</v>
      </c>
      <c r="E67" s="16" t="n">
        <v>1070746.7</v>
      </c>
      <c r="F67" s="17" t="n">
        <v>42587996</v>
      </c>
      <c r="G67" s="18" t="n">
        <v>0.782</v>
      </c>
      <c r="H67" s="16" t="n">
        <v>837279.97</v>
      </c>
      <c r="I67" s="16" t="n">
        <v>8467.93</v>
      </c>
      <c r="J67" s="19">
        <f>H67+I67</f>
        <v/>
      </c>
      <c r="K67" s="18">
        <f>IF(E67=0,0,J67/E67)</f>
        <v/>
      </c>
    </row>
    <row r="68" ht="26" customHeight="1">
      <c r="A68" s="20" t="inlineStr">
        <is>
          <t>99279</t>
        </is>
      </c>
      <c r="B68" s="21" t="inlineStr">
        <is>
          <t>Pingadeira de elastômero 40x40 mm — fornec. e instal.</t>
        </is>
      </c>
      <c r="C68" s="22" t="inlineStr">
        <is>
          <t>M</t>
        </is>
      </c>
      <c r="D68" s="23" t="n">
        <v>8390560</v>
      </c>
      <c r="E68" s="24" t="n">
        <v>1575914.97</v>
      </c>
      <c r="F68" s="23" t="n">
        <v>5691460</v>
      </c>
      <c r="G68" s="25" t="n">
        <v>0.6783</v>
      </c>
      <c r="H68" s="24" t="n">
        <v>1068970</v>
      </c>
      <c r="I68" s="24" t="n">
        <v>44488.04</v>
      </c>
      <c r="J68" s="26">
        <f>H68+I68</f>
        <v/>
      </c>
      <c r="K68" s="25">
        <f>IF(E68=0,0,J68/E68)</f>
        <v/>
      </c>
    </row>
    <row r="69" ht="26" customHeight="1">
      <c r="A69" s="12" t="inlineStr">
        <is>
          <t>99280</t>
        </is>
      </c>
      <c r="B69" s="13" t="inlineStr">
        <is>
          <t>Plataforma suspensa sob tabuleiro — treliças — 100 vezes</t>
        </is>
      </c>
      <c r="C69" s="14" t="inlineStr">
        <is>
          <t>M²</t>
        </is>
      </c>
      <c r="D69" s="17" t="n">
        <v>20360840</v>
      </c>
      <c r="E69" s="16" t="n">
        <v>1384333.51</v>
      </c>
      <c r="F69" s="17" t="n">
        <v>15602320</v>
      </c>
      <c r="G69" s="18" t="n">
        <v>0.7663</v>
      </c>
      <c r="H69" s="16" t="n">
        <v>1060801.72</v>
      </c>
      <c r="I69" s="16" t="n">
        <v>12303.97</v>
      </c>
      <c r="J69" s="19">
        <f>H69+I69</f>
        <v/>
      </c>
      <c r="K69" s="18">
        <f>IF(E69=0,0,J69/E69)</f>
        <v/>
      </c>
    </row>
    <row r="70" ht="26" customHeight="1">
      <c r="A70" s="20" t="inlineStr">
        <is>
          <t>99281</t>
        </is>
      </c>
      <c r="B70" s="21" t="inlineStr">
        <is>
          <t>Recomp. de dreno tubo aço galv. D=100 mm — fornec. e instal.</t>
        </is>
      </c>
      <c r="C70" s="22" t="inlineStr">
        <is>
          <t>UND</t>
        </is>
      </c>
      <c r="D70" s="23" t="n">
        <v>230000</v>
      </c>
      <c r="E70" s="24" t="n">
        <v>22680.3</v>
      </c>
      <c r="F70" s="23" t="n">
        <v>148000</v>
      </c>
      <c r="G70" s="25" t="n">
        <v>0.6435</v>
      </c>
      <c r="H70" s="24" t="n">
        <v>14594.28</v>
      </c>
      <c r="I70" s="24" t="n">
        <v>154.18</v>
      </c>
      <c r="J70" s="26">
        <f>H70+I70</f>
        <v/>
      </c>
      <c r="K70" s="25">
        <f>IF(E70=0,0,J70/E70)</f>
        <v/>
      </c>
    </row>
    <row r="71" ht="20" customHeight="1">
      <c r="A71" s="32" t="inlineStr">
        <is>
          <t>Subtotal 1.1</t>
        </is>
      </c>
      <c r="B71" s="33" t="n"/>
      <c r="C71" s="33" t="n"/>
      <c r="D71" s="33" t="n"/>
      <c r="E71" s="34">
        <f>SUM(E57:E70)</f>
        <v/>
      </c>
      <c r="F71" s="33" t="n"/>
      <c r="G71" s="33" t="n"/>
      <c r="H71" s="34">
        <f>SUM(H57:H70)</f>
        <v/>
      </c>
      <c r="I71" s="34">
        <f>SUM(I57:I70)</f>
        <v/>
      </c>
      <c r="J71" s="34">
        <f>SUM(J57:J70)</f>
        <v/>
      </c>
      <c r="K71" s="35">
        <f>IF(E71=0,0,J71/E71)</f>
        <v/>
      </c>
    </row>
    <row r="72" ht="20" customHeight="1">
      <c r="A72" s="11" t="inlineStr">
        <is>
          <t>2.0 — SERVIÇOS PRELIMINARES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</row>
    <row r="73" ht="15" customHeight="1">
      <c r="A73" s="12" t="inlineStr">
        <is>
          <t>52231</t>
        </is>
      </c>
      <c r="B73" s="13" t="inlineStr">
        <is>
          <t>Custo de instalação de canteiro</t>
        </is>
      </c>
      <c r="C73" s="14" t="inlineStr">
        <is>
          <t>UN</t>
        </is>
      </c>
      <c r="D73" s="15" t="n">
        <v>1</v>
      </c>
      <c r="E73" s="16" t="n">
        <v>57077</v>
      </c>
      <c r="F73" s="15" t="n">
        <v>0.621</v>
      </c>
      <c r="G73" s="18" t="n">
        <v>0.621</v>
      </c>
      <c r="H73" s="16" t="n">
        <v>35444.74</v>
      </c>
      <c r="I73" s="16" t="n">
        <v>2629.84</v>
      </c>
      <c r="J73" s="19">
        <f>H73+I73</f>
        <v/>
      </c>
      <c r="K73" s="18">
        <f>IF(E73=0,0,J73/E73)</f>
        <v/>
      </c>
    </row>
    <row r="74" ht="26" customHeight="1">
      <c r="A74" s="20" t="inlineStr">
        <is>
          <t>86617</t>
        </is>
      </c>
      <c r="B74" s="21" t="inlineStr">
        <is>
          <t>Mobilização e desmobilização de pessoal e equipamentos</t>
        </is>
      </c>
      <c r="C74" s="22" t="inlineStr">
        <is>
          <t>UN</t>
        </is>
      </c>
      <c r="D74" s="31" t="n">
        <v>1</v>
      </c>
      <c r="E74" s="24" t="n">
        <v>23419.51</v>
      </c>
      <c r="F74" s="31" t="n">
        <v>0.621</v>
      </c>
      <c r="G74" s="25" t="n">
        <v>0.621</v>
      </c>
      <c r="H74" s="24" t="n">
        <v>14543.43</v>
      </c>
      <c r="I74" s="27" t="n">
        <v>-430.79</v>
      </c>
      <c r="J74" s="26">
        <f>H74+I74</f>
        <v/>
      </c>
      <c r="K74" s="25">
        <f>IF(E74=0,0,J74/E74)</f>
        <v/>
      </c>
    </row>
    <row r="75" ht="15" customHeight="1">
      <c r="A75" s="12" t="inlineStr">
        <is>
          <t>90197</t>
        </is>
      </c>
      <c r="B75" s="13" t="inlineStr">
        <is>
          <t>Administração local + manutenção do canteiro</t>
        </is>
      </c>
      <c r="C75" s="14" t="inlineStr">
        <is>
          <t>UND</t>
        </is>
      </c>
      <c r="D75" s="15" t="n">
        <v>1</v>
      </c>
      <c r="E75" s="16" t="n">
        <v>1480303</v>
      </c>
      <c r="F75" s="15" t="n">
        <v>0.621</v>
      </c>
      <c r="G75" s="18" t="n">
        <v>0.621</v>
      </c>
      <c r="H75" s="16" t="n">
        <v>919268.1</v>
      </c>
      <c r="I75" s="16" t="n">
        <v>67870.14999999999</v>
      </c>
      <c r="J75" s="19">
        <f>H75+I75</f>
        <v/>
      </c>
      <c r="K75" s="18">
        <f>IF(E75=0,0,J75/E75)</f>
        <v/>
      </c>
    </row>
    <row r="76" ht="20" customHeight="1">
      <c r="A76" s="32" t="inlineStr">
        <is>
          <t>Subtotal 2.0</t>
        </is>
      </c>
      <c r="B76" s="33" t="n"/>
      <c r="C76" s="33" t="n"/>
      <c r="D76" s="33" t="n"/>
      <c r="E76" s="34">
        <f>SUM(E73:E75)</f>
        <v/>
      </c>
      <c r="F76" s="33" t="n"/>
      <c r="G76" s="33" t="n"/>
      <c r="H76" s="34">
        <f>SUM(H73:H75)</f>
        <v/>
      </c>
      <c r="I76" s="34">
        <f>SUM(I73:I75)</f>
        <v/>
      </c>
      <c r="J76" s="34">
        <f>SUM(J73:J75)</f>
        <v/>
      </c>
      <c r="K76" s="35">
        <f>IF(E76=0,0,J76/E76)</f>
        <v/>
      </c>
    </row>
    <row r="77" ht="20" customHeight="1">
      <c r="A77" s="11" t="inlineStr">
        <is>
          <t>3.0 — ESTORNO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</row>
    <row r="78" ht="15" customHeight="1">
      <c r="A78" s="12" t="inlineStr">
        <is>
          <t>999986</t>
        </is>
      </c>
      <c r="B78" s="13" t="inlineStr">
        <is>
          <t>EST ISS REF AC 32/08-TCU-P</t>
        </is>
      </c>
      <c r="C78" s="14" t="inlineStr">
        <is>
          <t>R$</t>
        </is>
      </c>
      <c r="D78" s="17" t="n">
        <v>0</v>
      </c>
      <c r="E78" s="16" t="n">
        <v>0</v>
      </c>
      <c r="F78" s="17" t="n">
        <v>0</v>
      </c>
      <c r="G78" s="18" t="n">
        <v>0</v>
      </c>
      <c r="H78" s="16" t="n">
        <v>0</v>
      </c>
      <c r="I78" s="29" t="n">
        <v>-34718.02</v>
      </c>
      <c r="J78" s="30">
        <f>H78+I78</f>
        <v/>
      </c>
      <c r="K78" s="18" t="n">
        <v>0</v>
      </c>
    </row>
    <row r="79" ht="20" customHeight="1">
      <c r="A79" s="32" t="inlineStr">
        <is>
          <t>Subtotal 3.0</t>
        </is>
      </c>
      <c r="B79" s="33" t="n"/>
      <c r="C79" s="33" t="n"/>
      <c r="D79" s="33" t="n"/>
      <c r="E79" s="34">
        <f>SUM(E78:E78)</f>
        <v/>
      </c>
      <c r="F79" s="33" t="n"/>
      <c r="G79" s="33" t="n"/>
      <c r="H79" s="34">
        <f>SUM(H78:H78)</f>
        <v/>
      </c>
      <c r="I79" s="34">
        <f>SUM(I78:I78)</f>
        <v/>
      </c>
      <c r="J79" s="34">
        <f>SUM(J78:J78)</f>
        <v/>
      </c>
      <c r="K79" s="35">
        <f>IF(E79=0,0,J79/E79)</f>
        <v/>
      </c>
    </row>
    <row r="80" ht="20" customHeight="1">
      <c r="A80" s="11" t="inlineStr">
        <is>
          <t>4.0 — SINALIZAÇÃO DE OBRAS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</row>
    <row r="81" ht="15" customHeight="1">
      <c r="A81" s="12" t="inlineStr">
        <is>
          <t>49321</t>
        </is>
      </c>
      <c r="B81" s="13" t="inlineStr">
        <is>
          <t>Operação de sinalização por bandeirola</t>
        </is>
      </c>
      <c r="C81" s="14" t="inlineStr">
        <is>
          <t>H</t>
        </is>
      </c>
      <c r="D81" s="17" t="n">
        <v>1248000</v>
      </c>
      <c r="E81" s="16" t="n">
        <v>25896</v>
      </c>
      <c r="F81" s="17" t="n">
        <v>0</v>
      </c>
      <c r="G81" s="18" t="n">
        <v>0</v>
      </c>
      <c r="H81" s="16" t="n">
        <v>0</v>
      </c>
      <c r="I81" s="16" t="n">
        <v>0</v>
      </c>
      <c r="J81" s="19">
        <f>H81+I81</f>
        <v/>
      </c>
      <c r="K81" s="18">
        <f>IF(E81=0,0,J81/E81)</f>
        <v/>
      </c>
    </row>
    <row r="82" ht="26" customHeight="1">
      <c r="A82" s="20" t="inlineStr">
        <is>
          <t>91397</t>
        </is>
      </c>
      <c r="B82" s="21" t="inlineStr">
        <is>
          <t>Placa regulamentação p/ sinaliz. — suporte metálico móvel</t>
        </is>
      </c>
      <c r="C82" s="22" t="inlineStr">
        <is>
          <t>UN/DIA</t>
        </is>
      </c>
      <c r="D82" s="23" t="n">
        <v>208000</v>
      </c>
      <c r="E82" s="24" t="n">
        <v>237.12</v>
      </c>
      <c r="F82" s="23" t="n">
        <v>0</v>
      </c>
      <c r="G82" s="25" t="n">
        <v>0</v>
      </c>
      <c r="H82" s="24" t="n">
        <v>0</v>
      </c>
      <c r="I82" s="24" t="n">
        <v>0</v>
      </c>
      <c r="J82" s="26">
        <f>H82+I82</f>
        <v/>
      </c>
      <c r="K82" s="25">
        <f>IF(E82=0,0,J82/E82)</f>
        <v/>
      </c>
    </row>
    <row r="83" ht="26" customHeight="1">
      <c r="A83" s="12" t="inlineStr">
        <is>
          <t>91574</t>
        </is>
      </c>
      <c r="B83" s="13" t="inlineStr">
        <is>
          <t>Luz advertência e bateria p/ dispositivos de sinalização</t>
        </is>
      </c>
      <c r="C83" s="14" t="inlineStr">
        <is>
          <t>UN/DIA</t>
        </is>
      </c>
      <c r="D83" s="17" t="n">
        <v>573000</v>
      </c>
      <c r="E83" s="16" t="n">
        <v>647.49</v>
      </c>
      <c r="F83" s="17" t="n">
        <v>0</v>
      </c>
      <c r="G83" s="18" t="n">
        <v>0</v>
      </c>
      <c r="H83" s="16" t="n">
        <v>0</v>
      </c>
      <c r="I83" s="16" t="n">
        <v>0</v>
      </c>
      <c r="J83" s="19">
        <f>H83+I83</f>
        <v/>
      </c>
      <c r="K83" s="18">
        <f>IF(E83=0,0,J83/E83)</f>
        <v/>
      </c>
    </row>
    <row r="84" ht="26" customHeight="1">
      <c r="A84" s="20" t="inlineStr">
        <is>
          <t>92597</t>
        </is>
      </c>
      <c r="B84" s="21" t="inlineStr">
        <is>
          <t>Placa regulamentação sinaliz. — suporte metálico D=1,00 m</t>
        </is>
      </c>
      <c r="C84" s="22" t="inlineStr">
        <is>
          <t>UN/DIA</t>
        </is>
      </c>
      <c r="D84" s="23" t="n">
        <v>732000</v>
      </c>
      <c r="E84" s="24" t="n">
        <v>812.52</v>
      </c>
      <c r="F84" s="23" t="n">
        <v>0</v>
      </c>
      <c r="G84" s="25" t="n">
        <v>0</v>
      </c>
      <c r="H84" s="24" t="n">
        <v>0</v>
      </c>
      <c r="I84" s="24" t="n">
        <v>0</v>
      </c>
      <c r="J84" s="26">
        <f>H84+I84</f>
        <v/>
      </c>
      <c r="K84" s="25">
        <f>IF(E84=0,0,J84/E84)</f>
        <v/>
      </c>
    </row>
    <row r="85" ht="26" customHeight="1">
      <c r="A85" s="12" t="inlineStr">
        <is>
          <t>97567</t>
        </is>
      </c>
      <c r="B85" s="13" t="inlineStr">
        <is>
          <t>Placa sinaliz. obras em cavalete metálico 1,00 x 1,00 m</t>
        </is>
      </c>
      <c r="C85" s="14" t="inlineStr">
        <is>
          <t>UN/DIA</t>
        </is>
      </c>
      <c r="D85" s="17" t="n">
        <v>106000</v>
      </c>
      <c r="E85" s="16" t="n">
        <v>112.36</v>
      </c>
      <c r="F85" s="17" t="n">
        <v>0</v>
      </c>
      <c r="G85" s="18" t="n">
        <v>0</v>
      </c>
      <c r="H85" s="16" t="n">
        <v>0</v>
      </c>
      <c r="I85" s="16" t="n">
        <v>0</v>
      </c>
      <c r="J85" s="19">
        <f>H85+I85</f>
        <v/>
      </c>
      <c r="K85" s="18">
        <f>IF(E85=0,0,J85/E85)</f>
        <v/>
      </c>
    </row>
    <row r="86" ht="26" customHeight="1">
      <c r="A86" s="20" t="inlineStr">
        <is>
          <t>99415</t>
        </is>
      </c>
      <c r="B86" s="21" t="inlineStr">
        <is>
          <t>Cone plástico p/ canalização de trânsito — 150 ciclos</t>
        </is>
      </c>
      <c r="C86" s="22" t="inlineStr">
        <is>
          <t>UN/DIA</t>
        </is>
      </c>
      <c r="D86" s="23" t="n">
        <v>515000</v>
      </c>
      <c r="E86" s="24" t="n">
        <v>355.35</v>
      </c>
      <c r="F86" s="23" t="n">
        <v>0</v>
      </c>
      <c r="G86" s="25" t="n">
        <v>0</v>
      </c>
      <c r="H86" s="24" t="n">
        <v>0</v>
      </c>
      <c r="I86" s="24" t="n">
        <v>0</v>
      </c>
      <c r="J86" s="26">
        <f>H86+I86</f>
        <v/>
      </c>
      <c r="K86" s="25">
        <f>IF(E86=0,0,J86/E86)</f>
        <v/>
      </c>
    </row>
    <row r="87" ht="26" customHeight="1">
      <c r="A87" s="12" t="inlineStr">
        <is>
          <t>804485</t>
        </is>
      </c>
      <c r="B87" s="13" t="inlineStr">
        <is>
          <t>Cilindro canalizador tráfego 111x56x56 cm — 600 ciclos</t>
        </is>
      </c>
      <c r="C87" s="14" t="inlineStr">
        <is>
          <t>UN/DIA</t>
        </is>
      </c>
      <c r="D87" s="17" t="n">
        <v>58000</v>
      </c>
      <c r="E87" s="16" t="n">
        <v>161.24</v>
      </c>
      <c r="F87" s="17" t="n">
        <v>0</v>
      </c>
      <c r="G87" s="18" t="n">
        <v>0</v>
      </c>
      <c r="H87" s="16" t="n">
        <v>0</v>
      </c>
      <c r="I87" s="16" t="n">
        <v>0</v>
      </c>
      <c r="J87" s="19">
        <f>H87+I87</f>
        <v/>
      </c>
      <c r="K87" s="18">
        <f>IF(E87=0,0,J87/E87)</f>
        <v/>
      </c>
    </row>
    <row r="88" ht="26" customHeight="1">
      <c r="A88" s="20" t="inlineStr">
        <is>
          <t>7200844</t>
        </is>
      </c>
      <c r="B88" s="21" t="inlineStr">
        <is>
          <t>Placa advertência sinaliz. — suporte met. 1,00 m — 600 ciclos</t>
        </is>
      </c>
      <c r="C88" s="22" t="inlineStr">
        <is>
          <t>UN/DIA</t>
        </is>
      </c>
      <c r="D88" s="23" t="n">
        <v>946000</v>
      </c>
      <c r="E88" s="24" t="n">
        <v>1191.96</v>
      </c>
      <c r="F88" s="23" t="n">
        <v>0</v>
      </c>
      <c r="G88" s="25" t="n">
        <v>0</v>
      </c>
      <c r="H88" s="24" t="n">
        <v>0</v>
      </c>
      <c r="I88" s="24" t="n">
        <v>0</v>
      </c>
      <c r="J88" s="26">
        <f>H88+I88</f>
        <v/>
      </c>
      <c r="K88" s="25">
        <f>IF(E88=0,0,J88/E88)</f>
        <v/>
      </c>
    </row>
    <row r="89" ht="26" customHeight="1">
      <c r="A89" s="12" t="inlineStr">
        <is>
          <t>8301051</t>
        </is>
      </c>
      <c r="B89" s="13" t="inlineStr">
        <is>
          <t>Cavalete polietileno zebrado c/ faixa refletiva H=1,00 m</t>
        </is>
      </c>
      <c r="C89" s="14" t="inlineStr">
        <is>
          <t>UN/DIA</t>
        </is>
      </c>
      <c r="D89" s="17" t="n">
        <v>418000</v>
      </c>
      <c r="E89" s="16" t="n">
        <v>271.7</v>
      </c>
      <c r="F89" s="17" t="n">
        <v>0</v>
      </c>
      <c r="G89" s="18" t="n">
        <v>0</v>
      </c>
      <c r="H89" s="16" t="n">
        <v>0</v>
      </c>
      <c r="I89" s="16" t="n">
        <v>0</v>
      </c>
      <c r="J89" s="19">
        <f>H89+I89</f>
        <v/>
      </c>
      <c r="K89" s="18">
        <f>IF(E89=0,0,J89/E89)</f>
        <v/>
      </c>
    </row>
    <row r="90" ht="20" customHeight="1">
      <c r="A90" s="32" t="inlineStr">
        <is>
          <t>Subtotal 4.0</t>
        </is>
      </c>
      <c r="B90" s="33" t="n"/>
      <c r="C90" s="33" t="n"/>
      <c r="D90" s="33" t="n"/>
      <c r="E90" s="34">
        <f>SUM(E81:E89)</f>
        <v/>
      </c>
      <c r="F90" s="33" t="n"/>
      <c r="G90" s="33" t="n"/>
      <c r="H90" s="34">
        <f>SUM(H81:H89)</f>
        <v/>
      </c>
      <c r="I90" s="34">
        <f>SUM(I81:I89)</f>
        <v/>
      </c>
      <c r="J90" s="34">
        <f>SUM(J81:J89)</f>
        <v/>
      </c>
      <c r="K90" s="35">
        <f>IF(E90=0,0,J90/E90)</f>
        <v/>
      </c>
    </row>
    <row r="91" ht="20" customHeight="1">
      <c r="A91" s="11" t="inlineStr">
        <is>
          <t>5.0 — INSTALAÇÕES PONTE DE IGAPÓ</t>
        </is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</row>
    <row r="92" ht="15" customHeight="1">
      <c r="A92" s="12" t="inlineStr">
        <is>
          <t>83120</t>
        </is>
      </c>
      <c r="B92" s="13" t="inlineStr">
        <is>
          <t>Relé fotoelétrico — iluminação externa 1000 W</t>
        </is>
      </c>
      <c r="C92" s="14" t="inlineStr">
        <is>
          <t>UND</t>
        </is>
      </c>
      <c r="D92" s="17" t="n">
        <v>40000</v>
      </c>
      <c r="E92" s="16" t="n">
        <v>899.6</v>
      </c>
      <c r="F92" s="17" t="n">
        <v>38000</v>
      </c>
      <c r="G92" s="18" t="n">
        <v>0.95</v>
      </c>
      <c r="H92" s="16" t="n">
        <v>854.62</v>
      </c>
      <c r="I92" s="16" t="n">
        <v>91.18000000000001</v>
      </c>
      <c r="J92" s="19">
        <f>H92+I92</f>
        <v/>
      </c>
      <c r="K92" s="18">
        <f>IF(E92=0,0,J92/E92)</f>
        <v/>
      </c>
    </row>
    <row r="93" ht="26" customHeight="1">
      <c r="A93" s="20" t="inlineStr">
        <is>
          <t>97472</t>
        </is>
      </c>
      <c r="B93" s="21" t="inlineStr">
        <is>
          <t>Concreto FCK=30 MPa — confecção e lançamento manual</t>
        </is>
      </c>
      <c r="C93" s="22" t="inlineStr">
        <is>
          <t>M³</t>
        </is>
      </c>
      <c r="D93" s="23" t="n">
        <v>10000</v>
      </c>
      <c r="E93" s="24" t="n">
        <v>4286.7</v>
      </c>
      <c r="F93" s="23" t="n">
        <v>6460</v>
      </c>
      <c r="G93" s="25" t="n">
        <v>0.6459999999999999</v>
      </c>
      <c r="H93" s="24" t="n">
        <v>2769.2</v>
      </c>
      <c r="I93" s="24" t="n">
        <v>105.22</v>
      </c>
      <c r="J93" s="26">
        <f>H93+I93</f>
        <v/>
      </c>
      <c r="K93" s="25">
        <f>IF(E93=0,0,J93/E93)</f>
        <v/>
      </c>
    </row>
    <row r="94" ht="26" customHeight="1">
      <c r="A94" s="12" t="inlineStr">
        <is>
          <t>97478</t>
        </is>
      </c>
      <c r="B94" s="13" t="inlineStr">
        <is>
          <t>Fornec. e aplicação de adesivo estrutural — resina epóxi</t>
        </is>
      </c>
      <c r="C94" s="14" t="inlineStr">
        <is>
          <t>KG</t>
        </is>
      </c>
      <c r="D94" s="17" t="n">
        <v>40000</v>
      </c>
      <c r="E94" s="16" t="n">
        <v>3041.6</v>
      </c>
      <c r="F94" s="17" t="n">
        <v>38000</v>
      </c>
      <c r="G94" s="18" t="n">
        <v>0.95</v>
      </c>
      <c r="H94" s="16" t="n">
        <v>2889.52</v>
      </c>
      <c r="I94" s="16" t="n">
        <v>109.8</v>
      </c>
      <c r="J94" s="19">
        <f>H94+I94</f>
        <v/>
      </c>
      <c r="K94" s="18">
        <f>IF(E94=0,0,J94/E94)</f>
        <v/>
      </c>
    </row>
    <row r="95" ht="15" customHeight="1">
      <c r="A95" s="20" t="inlineStr">
        <is>
          <t>97489</t>
        </is>
      </c>
      <c r="B95" s="21" t="inlineStr">
        <is>
          <t>Demolição controlada de concreto com martelete</t>
        </is>
      </c>
      <c r="C95" s="22" t="inlineStr">
        <is>
          <t>M³</t>
        </is>
      </c>
      <c r="D95" s="23" t="n">
        <v>44000</v>
      </c>
      <c r="E95" s="24" t="n">
        <v>16141.84</v>
      </c>
      <c r="F95" s="23" t="n">
        <v>23864</v>
      </c>
      <c r="G95" s="25" t="n">
        <v>0.5424</v>
      </c>
      <c r="H95" s="24" t="n">
        <v>8754.74</v>
      </c>
      <c r="I95" s="24" t="n">
        <v>332.68</v>
      </c>
      <c r="J95" s="26">
        <f>H95+I95</f>
        <v/>
      </c>
      <c r="K95" s="25">
        <f>IF(E95=0,0,J95/E95)</f>
        <v/>
      </c>
    </row>
    <row r="96" ht="26" customHeight="1">
      <c r="A96" s="12" t="inlineStr">
        <is>
          <t>97804</t>
        </is>
      </c>
      <c r="B96" s="13" t="inlineStr">
        <is>
          <t>Armação em aço CA/50 — fornec., preparo e colocação</t>
        </is>
      </c>
      <c r="C96" s="14" t="inlineStr">
        <is>
          <t>KG</t>
        </is>
      </c>
      <c r="D96" s="17" t="n">
        <v>192504</v>
      </c>
      <c r="E96" s="16" t="n">
        <v>2629.6</v>
      </c>
      <c r="F96" s="17" t="n">
        <v>168811</v>
      </c>
      <c r="G96" s="18" t="n">
        <v>0.8769</v>
      </c>
      <c r="H96" s="16" t="n">
        <v>2305.95</v>
      </c>
      <c r="I96" s="16" t="n">
        <v>27.21</v>
      </c>
      <c r="J96" s="19">
        <f>H96+I96</f>
        <v/>
      </c>
      <c r="K96" s="18">
        <f>IF(E96=0,0,J96/E96)</f>
        <v/>
      </c>
    </row>
    <row r="97" ht="15" customHeight="1">
      <c r="A97" s="20" t="inlineStr">
        <is>
          <t>99278</t>
        </is>
      </c>
      <c r="B97" s="21" t="inlineStr">
        <is>
          <t>Fôrma metálica curva em chapa 3/16" — 100 vezes</t>
        </is>
      </c>
      <c r="C97" s="22" t="inlineStr">
        <is>
          <t>M²</t>
        </is>
      </c>
      <c r="D97" s="23" t="n">
        <v>64000</v>
      </c>
      <c r="E97" s="24" t="n">
        <v>1374.08</v>
      </c>
      <c r="F97" s="23" t="n">
        <v>55100</v>
      </c>
      <c r="G97" s="25" t="n">
        <v>0.8609</v>
      </c>
      <c r="H97" s="24" t="n">
        <v>1182.99</v>
      </c>
      <c r="I97" s="24" t="n">
        <v>13.95</v>
      </c>
      <c r="J97" s="26">
        <f>H97+I97</f>
        <v/>
      </c>
      <c r="K97" s="25">
        <f>IF(E97=0,0,J97/E97)</f>
        <v/>
      </c>
    </row>
    <row r="98" ht="15" customHeight="1">
      <c r="A98" s="12" t="inlineStr">
        <is>
          <t>952420</t>
        </is>
      </c>
      <c r="B98" s="13" t="inlineStr">
        <is>
          <t>Luminária LED iluminação pública 138-180 W</t>
        </is>
      </c>
      <c r="C98" s="14" t="inlineStr">
        <is>
          <t>UN</t>
        </is>
      </c>
      <c r="D98" s="17" t="n">
        <v>40000</v>
      </c>
      <c r="E98" s="16" t="n">
        <v>37906.8</v>
      </c>
      <c r="F98" s="17" t="n">
        <v>38000</v>
      </c>
      <c r="G98" s="18" t="n">
        <v>0.95</v>
      </c>
      <c r="H98" s="16" t="n">
        <v>36011.46</v>
      </c>
      <c r="I98" s="16" t="n">
        <v>597.79</v>
      </c>
      <c r="J98" s="19">
        <f>H98+I98</f>
        <v/>
      </c>
      <c r="K98" s="18">
        <f>IF(E98=0,0,J98/E98)</f>
        <v/>
      </c>
    </row>
    <row r="99" ht="15" customHeight="1">
      <c r="A99" s="20" t="inlineStr">
        <is>
          <t>4805750</t>
        </is>
      </c>
      <c r="B99" s="21" t="inlineStr">
        <is>
          <t>Escavação manual material 1ª cat. até 1 m</t>
        </is>
      </c>
      <c r="C99" s="22" t="inlineStr">
        <is>
          <t>M³</t>
        </is>
      </c>
      <c r="D99" s="23" t="n">
        <v>45000</v>
      </c>
      <c r="E99" s="24" t="n">
        <v>2395.35</v>
      </c>
      <c r="F99" s="23" t="n">
        <v>42750</v>
      </c>
      <c r="G99" s="25" t="n">
        <v>0.95</v>
      </c>
      <c r="H99" s="24" t="n">
        <v>2275.58</v>
      </c>
      <c r="I99" s="24" t="n">
        <v>93.29000000000001</v>
      </c>
      <c r="J99" s="26">
        <f>H99+I99</f>
        <v/>
      </c>
      <c r="K99" s="25">
        <f>IF(E99=0,0,J99/E99)</f>
        <v/>
      </c>
    </row>
    <row r="100" ht="15" customHeight="1">
      <c r="A100" s="12" t="inlineStr">
        <is>
          <t>8301768</t>
        </is>
      </c>
      <c r="B100" s="13" t="inlineStr">
        <is>
          <t>Perfuração concreto martelete elétrico D=13,0 mm</t>
        </is>
      </c>
      <c r="C100" s="14" t="inlineStr">
        <is>
          <t>M</t>
        </is>
      </c>
      <c r="D100" s="17" t="n">
        <v>64000</v>
      </c>
      <c r="E100" s="16" t="n">
        <v>1459.84</v>
      </c>
      <c r="F100" s="17" t="n">
        <v>60800</v>
      </c>
      <c r="G100" s="18" t="n">
        <v>0.95</v>
      </c>
      <c r="H100" s="16" t="n">
        <v>1386.84</v>
      </c>
      <c r="I100" s="16" t="n">
        <v>52.69</v>
      </c>
      <c r="J100" s="19">
        <f>H100+I100</f>
        <v/>
      </c>
      <c r="K100" s="18">
        <f>IF(E100=0,0,J100/E100)</f>
        <v/>
      </c>
    </row>
    <row r="101" ht="15" customHeight="1">
      <c r="A101" s="20" t="inlineStr">
        <is>
          <t>8302029</t>
        </is>
      </c>
      <c r="B101" s="21" t="inlineStr">
        <is>
          <t>Braço iluminação pública aço galv. 1,50 m</t>
        </is>
      </c>
      <c r="C101" s="22" t="inlineStr">
        <is>
          <t>UND</t>
        </is>
      </c>
      <c r="D101" s="23" t="n">
        <v>40000</v>
      </c>
      <c r="E101" s="24" t="n">
        <v>5638.8</v>
      </c>
      <c r="F101" s="23" t="n">
        <v>38000</v>
      </c>
      <c r="G101" s="25" t="n">
        <v>0.95</v>
      </c>
      <c r="H101" s="24" t="n">
        <v>5356.86</v>
      </c>
      <c r="I101" s="24" t="n">
        <v>571.5700000000001</v>
      </c>
      <c r="J101" s="26">
        <f>H101+I101</f>
        <v/>
      </c>
      <c r="K101" s="25">
        <f>IF(E101=0,0,J101/E101)</f>
        <v/>
      </c>
    </row>
    <row r="102" ht="15" customHeight="1">
      <c r="A102" s="12" t="inlineStr">
        <is>
          <t>8302035</t>
        </is>
      </c>
      <c r="B102" s="13" t="inlineStr">
        <is>
          <t>Assent. poste concreto 11 m — 1000 DaN</t>
        </is>
      </c>
      <c r="C102" s="14" t="inlineStr">
        <is>
          <t>UND</t>
        </is>
      </c>
      <c r="D102" s="17" t="n">
        <v>20000</v>
      </c>
      <c r="E102" s="16" t="n">
        <v>58372.2</v>
      </c>
      <c r="F102" s="17" t="n">
        <v>19000</v>
      </c>
      <c r="G102" s="18" t="n">
        <v>0.95</v>
      </c>
      <c r="H102" s="16" t="n">
        <v>55453.59</v>
      </c>
      <c r="I102" s="16" t="n">
        <v>920.52</v>
      </c>
      <c r="J102" s="19">
        <f>H102+I102</f>
        <v/>
      </c>
      <c r="K102" s="18">
        <f>IF(E102=0,0,J102/E102)</f>
        <v/>
      </c>
    </row>
    <row r="103" ht="15" customHeight="1">
      <c r="A103" s="20" t="inlineStr">
        <is>
          <t>8302035</t>
        </is>
      </c>
      <c r="B103" s="21" t="inlineStr">
        <is>
          <t>Cabo cobre flexível 25 mm² — rede enterrada</t>
        </is>
      </c>
      <c r="C103" s="22" t="inlineStr">
        <is>
          <t>UND</t>
        </is>
      </c>
      <c r="D103" s="23" t="n">
        <v>2220000</v>
      </c>
      <c r="E103" s="24" t="n">
        <v>9923.4</v>
      </c>
      <c r="F103" s="23" t="n">
        <v>2160000</v>
      </c>
      <c r="G103" s="25" t="n">
        <v>0.973</v>
      </c>
      <c r="H103" s="24" t="n">
        <v>9655.200000000001</v>
      </c>
      <c r="I103" s="24" t="n">
        <v>160.27</v>
      </c>
      <c r="J103" s="26">
        <f>H103+I103</f>
        <v/>
      </c>
      <c r="K103" s="25">
        <f>IF(E103=0,0,J103/E103)</f>
        <v/>
      </c>
    </row>
    <row r="104" ht="15" customHeight="1">
      <c r="A104" s="12" t="inlineStr">
        <is>
          <t>8302035</t>
        </is>
      </c>
      <c r="B104" s="13" t="inlineStr">
        <is>
          <t>Guindauto hidráulico 6200 kg — CHP diurno</t>
        </is>
      </c>
      <c r="C104" s="14" t="inlineStr">
        <is>
          <t>CHP</t>
        </is>
      </c>
      <c r="D104" s="17" t="n">
        <v>80000</v>
      </c>
      <c r="E104" s="16" t="n">
        <v>23065.6</v>
      </c>
      <c r="F104" s="17" t="n">
        <v>80000</v>
      </c>
      <c r="G104" s="18" t="n">
        <v>1</v>
      </c>
      <c r="H104" s="16" t="n">
        <v>23065.6</v>
      </c>
      <c r="I104" s="16" t="n">
        <v>2297.33</v>
      </c>
      <c r="J104" s="19">
        <f>H104+I104</f>
        <v/>
      </c>
      <c r="K104" s="18">
        <f>IF(E104=0,0,J104/E104)</f>
        <v/>
      </c>
    </row>
    <row r="105" ht="15" customHeight="1">
      <c r="A105" s="20" t="inlineStr">
        <is>
          <t>8302035</t>
        </is>
      </c>
      <c r="B105" s="21" t="inlineStr">
        <is>
          <t>Haste aterramento 5/8" — 3 metros</t>
        </is>
      </c>
      <c r="C105" s="22" t="inlineStr">
        <is>
          <t>UND</t>
        </is>
      </c>
      <c r="D105" s="23" t="n">
        <v>20000</v>
      </c>
      <c r="E105" s="24" t="n">
        <v>1609.4</v>
      </c>
      <c r="F105" s="23" t="n">
        <v>19000</v>
      </c>
      <c r="G105" s="25" t="n">
        <v>0.95</v>
      </c>
      <c r="H105" s="24" t="n">
        <v>1528.93</v>
      </c>
      <c r="I105" s="24" t="n">
        <v>152.28</v>
      </c>
      <c r="J105" s="26">
        <f>H105+I105</f>
        <v/>
      </c>
      <c r="K105" s="25">
        <f>IF(E105=0,0,J105/E105)</f>
        <v/>
      </c>
    </row>
    <row r="106" ht="15" customHeight="1">
      <c r="A106" s="12" t="inlineStr">
        <is>
          <t>8302036</t>
        </is>
      </c>
      <c r="B106" s="13" t="inlineStr">
        <is>
          <t>Entrada energia elétrica aérea monofásica</t>
        </is>
      </c>
      <c r="C106" s="14" t="inlineStr">
        <is>
          <t>UND</t>
        </is>
      </c>
      <c r="D106" s="17" t="n">
        <v>2000</v>
      </c>
      <c r="E106" s="16" t="n">
        <v>3209.68</v>
      </c>
      <c r="F106" s="17" t="n">
        <v>2000</v>
      </c>
      <c r="G106" s="18" t="n">
        <v>1</v>
      </c>
      <c r="H106" s="16" t="n">
        <v>3209.68</v>
      </c>
      <c r="I106" s="16" t="n">
        <v>342.47</v>
      </c>
      <c r="J106" s="19">
        <f>H106+I106</f>
        <v/>
      </c>
      <c r="K106" s="18">
        <f>IF(E106=0,0,J106/E106)</f>
        <v/>
      </c>
    </row>
    <row r="107" ht="15" customHeight="1">
      <c r="A107" s="20" t="inlineStr">
        <is>
          <t>8302036</t>
        </is>
      </c>
      <c r="B107" s="21" t="inlineStr">
        <is>
          <t>Remoção de cabos elétricos s/ reaproveitamento</t>
        </is>
      </c>
      <c r="C107" s="22" t="inlineStr">
        <is>
          <t>M</t>
        </is>
      </c>
      <c r="D107" s="23" t="n">
        <v>1440000</v>
      </c>
      <c r="E107" s="24" t="n">
        <v>936</v>
      </c>
      <c r="F107" s="23" t="n">
        <v>1440000</v>
      </c>
      <c r="G107" s="25" t="n">
        <v>1</v>
      </c>
      <c r="H107" s="24" t="n">
        <v>936</v>
      </c>
      <c r="I107" s="24" t="n">
        <v>99.87</v>
      </c>
      <c r="J107" s="26">
        <f>H107+I107</f>
        <v/>
      </c>
      <c r="K107" s="25">
        <f>IF(E107=0,0,J107/E107)</f>
        <v/>
      </c>
    </row>
    <row r="108" ht="20" customHeight="1">
      <c r="A108" s="32" t="inlineStr">
        <is>
          <t>Subtotal 5.0</t>
        </is>
      </c>
      <c r="B108" s="33" t="n"/>
      <c r="C108" s="33" t="n"/>
      <c r="D108" s="33" t="n"/>
      <c r="E108" s="34">
        <f>SUM(E92:E107)</f>
        <v/>
      </c>
      <c r="F108" s="33" t="n"/>
      <c r="G108" s="33" t="n"/>
      <c r="H108" s="34">
        <f>SUM(H92:H107)</f>
        <v/>
      </c>
      <c r="I108" s="34">
        <f>SUM(I92:I107)</f>
        <v/>
      </c>
      <c r="J108" s="34">
        <f>SUM(J92:J107)</f>
        <v/>
      </c>
      <c r="K108" s="35">
        <f>IF(E108=0,0,J108/E108)</f>
        <v/>
      </c>
    </row>
    <row r="109" ht="20" customHeight="1">
      <c r="A109" s="11" t="inlineStr">
        <is>
          <t>6.0 — ESTORNOS / RESSARCIMENTOS / DESCONTOS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 ht="15" customHeight="1">
      <c r="A110" s="12" t="inlineStr">
        <is>
          <t>51114</t>
        </is>
      </c>
      <c r="B110" s="13" t="inlineStr">
        <is>
          <t>EST.QTDE.LQDA. 1.0 51114</t>
        </is>
      </c>
      <c r="C110" s="14" t="inlineStr">
        <is>
          <t>—</t>
        </is>
      </c>
      <c r="D110" s="17" t="n">
        <v>0</v>
      </c>
      <c r="E110" s="16" t="n">
        <v>0</v>
      </c>
      <c r="F110" s="17" t="n">
        <v>0</v>
      </c>
      <c r="G110" s="18" t="n">
        <v>0</v>
      </c>
      <c r="H110" s="16" t="n">
        <v>0</v>
      </c>
      <c r="I110" s="16" t="n">
        <v>0</v>
      </c>
      <c r="J110" s="19">
        <f>H110+I110</f>
        <v/>
      </c>
      <c r="K110" s="18" t="n">
        <v>0</v>
      </c>
    </row>
    <row r="111" ht="15" customHeight="1">
      <c r="A111" s="20" t="inlineStr">
        <is>
          <t>92944</t>
        </is>
      </c>
      <c r="B111" s="21" t="inlineStr">
        <is>
          <t>EST.QTDE.LQDA. 1.0 92944</t>
        </is>
      </c>
      <c r="C111" s="22" t="inlineStr">
        <is>
          <t>—</t>
        </is>
      </c>
      <c r="D111" s="23" t="n">
        <v>0</v>
      </c>
      <c r="E111" s="24" t="n">
        <v>0</v>
      </c>
      <c r="F111" s="23" t="n">
        <v>0</v>
      </c>
      <c r="G111" s="25" t="n">
        <v>0</v>
      </c>
      <c r="H111" s="24" t="n">
        <v>0</v>
      </c>
      <c r="I111" s="24" t="n">
        <v>0</v>
      </c>
      <c r="J111" s="26">
        <f>H111+I111</f>
        <v/>
      </c>
      <c r="K111" s="25" t="n">
        <v>0</v>
      </c>
    </row>
    <row r="112" ht="15" customHeight="1">
      <c r="A112" s="12" t="inlineStr">
        <is>
          <t>97482</t>
        </is>
      </c>
      <c r="B112" s="13" t="inlineStr">
        <is>
          <t>EST.QTDE.LQDA. 1.0 97482</t>
        </is>
      </c>
      <c r="C112" s="14" t="inlineStr">
        <is>
          <t>—</t>
        </is>
      </c>
      <c r="D112" s="17" t="n">
        <v>0</v>
      </c>
      <c r="E112" s="16" t="n">
        <v>0</v>
      </c>
      <c r="F112" s="17" t="n">
        <v>0</v>
      </c>
      <c r="G112" s="18" t="n">
        <v>0</v>
      </c>
      <c r="H112" s="16" t="n">
        <v>0</v>
      </c>
      <c r="I112" s="16" t="n">
        <v>0</v>
      </c>
      <c r="J112" s="19">
        <f>H112+I112</f>
        <v/>
      </c>
      <c r="K112" s="18" t="n">
        <v>0</v>
      </c>
    </row>
    <row r="113" ht="15" customHeight="1">
      <c r="A113" s="20" t="inlineStr">
        <is>
          <t>97486</t>
        </is>
      </c>
      <c r="B113" s="21" t="inlineStr">
        <is>
          <t>EST.QTDE.LQDA. 1.0 97486 — 3</t>
        </is>
      </c>
      <c r="C113" s="22" t="inlineStr">
        <is>
          <t>—</t>
        </is>
      </c>
      <c r="D113" s="23" t="n">
        <v>0</v>
      </c>
      <c r="E113" s="24" t="n">
        <v>0</v>
      </c>
      <c r="F113" s="23" t="n">
        <v>0</v>
      </c>
      <c r="G113" s="25" t="n">
        <v>0</v>
      </c>
      <c r="H113" s="24" t="n">
        <v>0</v>
      </c>
      <c r="I113" s="24" t="n">
        <v>0</v>
      </c>
      <c r="J113" s="26">
        <f>H113+I113</f>
        <v/>
      </c>
      <c r="K113" s="25" t="n">
        <v>0</v>
      </c>
    </row>
    <row r="114" ht="15" customHeight="1">
      <c r="A114" s="12" t="inlineStr">
        <is>
          <t>97799</t>
        </is>
      </c>
      <c r="B114" s="13" t="inlineStr">
        <is>
          <t>EST.QTDE.LQDA. 1.0 97799</t>
        </is>
      </c>
      <c r="C114" s="14" t="inlineStr">
        <is>
          <t>—</t>
        </is>
      </c>
      <c r="D114" s="17" t="n">
        <v>0</v>
      </c>
      <c r="E114" s="16" t="n">
        <v>0</v>
      </c>
      <c r="F114" s="17" t="n">
        <v>0</v>
      </c>
      <c r="G114" s="18" t="n">
        <v>0</v>
      </c>
      <c r="H114" s="16" t="n">
        <v>0</v>
      </c>
      <c r="I114" s="16" t="n">
        <v>0</v>
      </c>
      <c r="J114" s="19">
        <f>H114+I114</f>
        <v/>
      </c>
      <c r="K114" s="18" t="n">
        <v>0</v>
      </c>
    </row>
    <row r="115" ht="15" customHeight="1">
      <c r="A115" s="20" t="inlineStr">
        <is>
          <t>99279</t>
        </is>
      </c>
      <c r="B115" s="21" t="inlineStr">
        <is>
          <t>EST.QTDE.LQDA. 1.0 99279</t>
        </is>
      </c>
      <c r="C115" s="22" t="inlineStr">
        <is>
          <t>—</t>
        </is>
      </c>
      <c r="D115" s="23" t="n">
        <v>0</v>
      </c>
      <c r="E115" s="24" t="n">
        <v>0</v>
      </c>
      <c r="F115" s="23" t="n">
        <v>0</v>
      </c>
      <c r="G115" s="25" t="n">
        <v>0</v>
      </c>
      <c r="H115" s="24" t="n">
        <v>0</v>
      </c>
      <c r="I115" s="24" t="n">
        <v>0</v>
      </c>
      <c r="J115" s="26">
        <f>H115+I115</f>
        <v/>
      </c>
      <c r="K115" s="25" t="n">
        <v>0</v>
      </c>
    </row>
    <row r="116" ht="15" customHeight="1">
      <c r="A116" s="12" t="inlineStr">
        <is>
          <t>99280</t>
        </is>
      </c>
      <c r="B116" s="13" t="inlineStr">
        <is>
          <t>EST.QTDE.LQDA. 1.0 99280</t>
        </is>
      </c>
      <c r="C116" s="14" t="inlineStr">
        <is>
          <t>—</t>
        </is>
      </c>
      <c r="D116" s="17" t="n">
        <v>0</v>
      </c>
      <c r="E116" s="16" t="n">
        <v>0</v>
      </c>
      <c r="F116" s="17" t="n">
        <v>0</v>
      </c>
      <c r="G116" s="18" t="n">
        <v>0</v>
      </c>
      <c r="H116" s="16" t="n">
        <v>0</v>
      </c>
      <c r="I116" s="16" t="n">
        <v>0</v>
      </c>
      <c r="J116" s="19">
        <f>H116+I116</f>
        <v/>
      </c>
      <c r="K116" s="18" t="n">
        <v>0</v>
      </c>
    </row>
    <row r="117" ht="15" customHeight="1">
      <c r="A117" s="20" t="inlineStr">
        <is>
          <t>99281</t>
        </is>
      </c>
      <c r="B117" s="21" t="inlineStr">
        <is>
          <t>EST.QTDE.LQDA. 1.0 99281</t>
        </is>
      </c>
      <c r="C117" s="22" t="inlineStr">
        <is>
          <t>—</t>
        </is>
      </c>
      <c r="D117" s="23" t="n">
        <v>0</v>
      </c>
      <c r="E117" s="24" t="n">
        <v>0</v>
      </c>
      <c r="F117" s="23" t="n">
        <v>0</v>
      </c>
      <c r="G117" s="25" t="n">
        <v>0</v>
      </c>
      <c r="H117" s="24" t="n">
        <v>0</v>
      </c>
      <c r="I117" s="24" t="n">
        <v>0</v>
      </c>
      <c r="J117" s="26">
        <f>H117+I117</f>
        <v/>
      </c>
      <c r="K117" s="25" t="n">
        <v>0</v>
      </c>
    </row>
    <row r="118" ht="20" customHeight="1">
      <c r="A118" s="32" t="inlineStr">
        <is>
          <t>Subtotal 6.0</t>
        </is>
      </c>
      <c r="B118" s="33" t="n"/>
      <c r="C118" s="33" t="n"/>
      <c r="D118" s="33" t="n"/>
      <c r="E118" s="34">
        <f>SUM(E110:E117)</f>
        <v/>
      </c>
      <c r="F118" s="33" t="n"/>
      <c r="G118" s="33" t="n"/>
      <c r="H118" s="34">
        <f>SUM(H110:H117)</f>
        <v/>
      </c>
      <c r="I118" s="34">
        <f>SUM(I110:I117)</f>
        <v/>
      </c>
      <c r="J118" s="34">
        <f>SUM(J110:J117)</f>
        <v/>
      </c>
      <c r="K118" s="35">
        <f>IF(E118=0,0,J118/E118)</f>
        <v/>
      </c>
    </row>
    <row r="120" ht="24" customHeight="1">
      <c r="A120" s="36" t="inlineStr">
        <is>
          <t>SOMA</t>
        </is>
      </c>
      <c r="B120" s="37" t="n"/>
      <c r="C120" s="37" t="n"/>
      <c r="D120" s="37" t="n"/>
      <c r="E120" s="38">
        <f>E55+E71+E76+E79+E90+E108+E118</f>
        <v/>
      </c>
      <c r="F120" s="37" t="n"/>
      <c r="G120" s="37" t="n"/>
      <c r="H120" s="38">
        <f>H55+H71+H76+H79+H90+H108+H118</f>
        <v/>
      </c>
      <c r="I120" s="38">
        <f>I55+I71+I76+I79+I90+I108+I118</f>
        <v/>
      </c>
      <c r="J120" s="38">
        <f>J55+J71+J76+J79+J90+J108+J118</f>
        <v/>
      </c>
      <c r="K120" s="37" t="n"/>
    </row>
    <row r="121" ht="24" customHeight="1">
      <c r="A121" s="39" t="inlineStr">
        <is>
          <t>VALOR DO CONTRATO</t>
        </is>
      </c>
      <c r="B121" s="40" t="n"/>
      <c r="C121" s="40" t="n"/>
      <c r="D121" s="40" t="n"/>
      <c r="E121" s="41" t="n">
        <v>11371194.85</v>
      </c>
      <c r="F121" s="40" t="n"/>
      <c r="G121" s="40" t="n"/>
      <c r="H121" s="41" t="n">
        <v>11371194.85</v>
      </c>
      <c r="I121" s="41" t="n">
        <v>342521.86</v>
      </c>
      <c r="J121" s="41" t="n">
        <v>11713716.71</v>
      </c>
      <c r="K121" s="40" t="n"/>
    </row>
    <row r="122" ht="24" customHeight="1">
      <c r="A122" s="42" t="inlineStr">
        <is>
          <t>PERCENTUAL FATURADO</t>
        </is>
      </c>
      <c r="B122" s="43" t="n"/>
      <c r="C122" s="43" t="n"/>
      <c r="D122" s="43" t="n"/>
      <c r="E122" s="44">
        <f>E120/E121</f>
        <v/>
      </c>
      <c r="F122" s="43" t="n"/>
      <c r="G122" s="43" t="n"/>
      <c r="H122" s="44">
        <f>H120/H121</f>
        <v/>
      </c>
      <c r="I122" s="44">
        <f>I120/I121</f>
        <v/>
      </c>
      <c r="J122" s="44">
        <f>J120/J121</f>
        <v/>
      </c>
      <c r="K122" s="43" t="n"/>
    </row>
    <row r="124">
      <c r="A124" s="45" t="inlineStr">
        <is>
          <t>(*) Estorno/Ressarcimento com reflexo na planilha de serviços.  |  Fonte: 31ª Medição Provisória — Processado 20/08/2026</t>
        </is>
      </c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</row>
  </sheetData>
  <mergeCells count="42">
    <mergeCell ref="C10:K10"/>
    <mergeCell ref="A122:D122"/>
    <mergeCell ref="B12:B13"/>
    <mergeCell ref="A77:K77"/>
    <mergeCell ref="H12:K12"/>
    <mergeCell ref="C9:K9"/>
    <mergeCell ref="A121:D121"/>
    <mergeCell ref="A1:K1"/>
    <mergeCell ref="A6:B6"/>
    <mergeCell ref="F12:G12"/>
    <mergeCell ref="A7:B7"/>
    <mergeCell ref="A124:K124"/>
    <mergeCell ref="A12:A13"/>
    <mergeCell ref="C12:C13"/>
    <mergeCell ref="C8:K8"/>
    <mergeCell ref="A3:B3"/>
    <mergeCell ref="A80:K80"/>
    <mergeCell ref="A56:K56"/>
    <mergeCell ref="C7:K7"/>
    <mergeCell ref="A79:D79"/>
    <mergeCell ref="A5:B5"/>
    <mergeCell ref="A2:K2"/>
    <mergeCell ref="C3:K3"/>
    <mergeCell ref="A14:K14"/>
    <mergeCell ref="A8:B8"/>
    <mergeCell ref="A90:D90"/>
    <mergeCell ref="A108:D108"/>
    <mergeCell ref="D12:E12"/>
    <mergeCell ref="C6:K6"/>
    <mergeCell ref="A4:B4"/>
    <mergeCell ref="A118:D118"/>
    <mergeCell ref="A91:K91"/>
    <mergeCell ref="A120:D120"/>
    <mergeCell ref="C5:K5"/>
    <mergeCell ref="A72:K72"/>
    <mergeCell ref="A109:K109"/>
    <mergeCell ref="A10:B10"/>
    <mergeCell ref="A55:D55"/>
    <mergeCell ref="A71:D71"/>
    <mergeCell ref="A9:B9"/>
    <mergeCell ref="C4:K4"/>
    <mergeCell ref="A76:D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6" customWidth="1" min="4" max="4"/>
    <col width="18" customWidth="1" min="5" max="5"/>
    <col width="16" customWidth="1" min="6" max="6"/>
    <col width="14" customWidth="1" min="7" max="7"/>
    <col width="18" customWidth="1" min="8" max="8"/>
    <col width="16" customWidth="1" min="9" max="9"/>
    <col width="18" customWidth="1" min="10" max="10"/>
  </cols>
  <sheetData>
    <row r="1" ht="30" customHeight="1">
      <c r="A1" s="1" t="inlineStr">
        <is>
          <t>HISTÓRICO DE MEDIÇÕES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Contrato 14 00729/2023 — MATERA ENGENHARIA LTDA — Processo 50614.003291/2023-42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34" customHeight="1">
      <c r="A3" s="8" t="inlineStr">
        <is>
          <t>Med.</t>
        </is>
      </c>
      <c r="B3" s="8" t="inlineStr">
        <is>
          <t>Data Início</t>
        </is>
      </c>
      <c r="C3" s="8" t="inlineStr">
        <is>
          <t>Data Término</t>
        </is>
      </c>
      <c r="D3" s="8" t="inlineStr">
        <is>
          <t>Valor a PI
Líquido (R$)</t>
        </is>
      </c>
      <c r="E3" s="8" t="inlineStr">
        <is>
          <t>Valor a PI
Acumulado (R$)</t>
        </is>
      </c>
      <c r="F3" s="8" t="inlineStr">
        <is>
          <t>Reajustamento
Líquido (R$)</t>
        </is>
      </c>
      <c r="G3" s="8" t="inlineStr">
        <is>
          <t>Ajuste Contrat.
Líquido (R$)</t>
        </is>
      </c>
      <c r="H3" s="8" t="inlineStr">
        <is>
          <t>Reajust. Acum.
Consolidado (R$)</t>
        </is>
      </c>
      <c r="I3" s="8" t="inlineStr">
        <is>
          <t>Total
Líquido (R$)</t>
        </is>
      </c>
      <c r="J3" s="8" t="inlineStr">
        <is>
          <t>Total
Acumulado (R$)</t>
        </is>
      </c>
    </row>
    <row r="4" ht="16" customHeight="1">
      <c r="A4" s="12" t="n">
        <v>1</v>
      </c>
      <c r="B4" s="14" t="inlineStr">
        <is>
          <t>09/01/2024</t>
        </is>
      </c>
      <c r="C4" s="14" t="inlineStr">
        <is>
          <t>31/01/2024</t>
        </is>
      </c>
      <c r="D4" s="16" t="n">
        <v>0</v>
      </c>
      <c r="E4" s="16" t="n">
        <v>0</v>
      </c>
      <c r="F4" s="16" t="n">
        <v>0</v>
      </c>
      <c r="G4" s="16" t="n">
        <v>0</v>
      </c>
      <c r="H4" s="16" t="n">
        <v>0</v>
      </c>
      <c r="I4" s="16" t="n">
        <v>0</v>
      </c>
      <c r="J4" s="16" t="n">
        <v>0</v>
      </c>
    </row>
    <row r="5" ht="16" customHeight="1">
      <c r="A5" s="20" t="n">
        <v>2</v>
      </c>
      <c r="B5" s="22" t="inlineStr">
        <is>
          <t>01/02/2024</t>
        </is>
      </c>
      <c r="C5" s="22" t="inlineStr">
        <is>
          <t>29/02/2024</t>
        </is>
      </c>
      <c r="D5" s="24" t="n">
        <v>0</v>
      </c>
      <c r="E5" s="24" t="n">
        <v>0</v>
      </c>
      <c r="F5" s="24" t="n">
        <v>0</v>
      </c>
      <c r="G5" s="24" t="n">
        <v>0</v>
      </c>
      <c r="H5" s="24" t="n">
        <v>0</v>
      </c>
      <c r="I5" s="24" t="n">
        <v>0</v>
      </c>
      <c r="J5" s="24" t="n">
        <v>0</v>
      </c>
    </row>
    <row r="6" ht="16" customHeight="1">
      <c r="A6" s="12" t="n">
        <v>3</v>
      </c>
      <c r="B6" s="14" t="inlineStr">
        <is>
          <t>01/03/2024</t>
        </is>
      </c>
      <c r="C6" s="14" t="inlineStr">
        <is>
          <t>31/03/2024</t>
        </is>
      </c>
      <c r="D6" s="16" t="n">
        <v>531599.28</v>
      </c>
      <c r="E6" s="16" t="n">
        <v>531599.28</v>
      </c>
      <c r="F6" s="16" t="n">
        <v>1921.31</v>
      </c>
      <c r="G6" s="16" t="n">
        <v>0</v>
      </c>
      <c r="H6" s="16" t="n">
        <v>1921.31</v>
      </c>
      <c r="I6" s="16" t="n">
        <v>533520.59</v>
      </c>
      <c r="J6" s="16" t="n">
        <v>533520.59</v>
      </c>
    </row>
    <row r="7" ht="16" customHeight="1">
      <c r="A7" s="20" t="n">
        <v>4</v>
      </c>
      <c r="B7" s="22" t="inlineStr">
        <is>
          <t>01/04/2024</t>
        </is>
      </c>
      <c r="C7" s="22" t="inlineStr">
        <is>
          <t>30/04/2024</t>
        </is>
      </c>
      <c r="D7" s="24" t="n">
        <v>247277.28</v>
      </c>
      <c r="E7" s="24" t="n">
        <v>778876.5600000001</v>
      </c>
      <c r="F7" s="24" t="n">
        <v>1258.47</v>
      </c>
      <c r="G7" s="24" t="n">
        <v>0</v>
      </c>
      <c r="H7" s="24" t="n">
        <v>3179.78</v>
      </c>
      <c r="I7" s="24" t="n">
        <v>248535.75</v>
      </c>
      <c r="J7" s="24" t="n">
        <v>782056.34</v>
      </c>
    </row>
    <row r="8" ht="16" customHeight="1">
      <c r="A8" s="12" t="n">
        <v>5</v>
      </c>
      <c r="B8" s="14" t="inlineStr">
        <is>
          <t>01/05/2024</t>
        </is>
      </c>
      <c r="C8" s="14" t="inlineStr">
        <is>
          <t>31/05/2024</t>
        </is>
      </c>
      <c r="D8" s="16" t="n">
        <v>0</v>
      </c>
      <c r="E8" s="16" t="n">
        <v>778876.5600000001</v>
      </c>
      <c r="F8" s="16" t="n">
        <v>0</v>
      </c>
      <c r="G8" s="16" t="n">
        <v>0</v>
      </c>
      <c r="H8" s="16" t="n">
        <v>3179.78</v>
      </c>
      <c r="I8" s="16" t="n">
        <v>0</v>
      </c>
      <c r="J8" s="16" t="n">
        <v>782056.34</v>
      </c>
    </row>
    <row r="9" ht="16" customHeight="1">
      <c r="A9" s="20" t="n">
        <v>6</v>
      </c>
      <c r="B9" s="22" t="inlineStr">
        <is>
          <t>01/06/2024</t>
        </is>
      </c>
      <c r="C9" s="22" t="inlineStr">
        <is>
          <t>30/06/2024</t>
        </is>
      </c>
      <c r="D9" s="24" t="n">
        <v>2578.94</v>
      </c>
      <c r="E9" s="24" t="n">
        <v>781455.5</v>
      </c>
      <c r="F9" s="24" t="n">
        <v>368.82</v>
      </c>
      <c r="G9" s="24" t="n">
        <v>0</v>
      </c>
      <c r="H9" s="24" t="n">
        <v>3548.6</v>
      </c>
      <c r="I9" s="24" t="n">
        <v>2947.76</v>
      </c>
      <c r="J9" s="24" t="n">
        <v>785004.1</v>
      </c>
    </row>
    <row r="10" ht="16" customHeight="1">
      <c r="A10" s="12" t="n">
        <v>7</v>
      </c>
      <c r="B10" s="14" t="inlineStr">
        <is>
          <t>01/07/2024</t>
        </is>
      </c>
      <c r="C10" s="14" t="inlineStr">
        <is>
          <t>31/07/2024</t>
        </is>
      </c>
      <c r="D10" s="16" t="n">
        <v>780641.04</v>
      </c>
      <c r="E10" s="16" t="n">
        <v>1562096.54</v>
      </c>
      <c r="F10" s="16" t="n">
        <v>926.14</v>
      </c>
      <c r="G10" s="29" t="n">
        <v>-6983.03</v>
      </c>
      <c r="H10" s="29" t="n">
        <v>-2508.29</v>
      </c>
      <c r="I10" s="16" t="n">
        <v>774584.15</v>
      </c>
      <c r="J10" s="16" t="n">
        <v>1559588.25</v>
      </c>
    </row>
    <row r="11" ht="16" customHeight="1">
      <c r="A11" s="20" t="n">
        <v>8</v>
      </c>
      <c r="B11" s="22" t="inlineStr">
        <is>
          <t>01/08/2024</t>
        </is>
      </c>
      <c r="C11" s="22" t="inlineStr">
        <is>
          <t>31/08/2024</t>
        </is>
      </c>
      <c r="D11" s="24" t="n">
        <v>898194</v>
      </c>
      <c r="E11" s="24" t="n">
        <v>2460290.54</v>
      </c>
      <c r="F11" s="24" t="n">
        <v>5519.08</v>
      </c>
      <c r="G11" s="27" t="n">
        <v>-2258.09</v>
      </c>
      <c r="H11" s="24" t="n">
        <v>752.7</v>
      </c>
      <c r="I11" s="24" t="n">
        <v>901454.99</v>
      </c>
      <c r="J11" s="24" t="n">
        <v>2461043.24</v>
      </c>
    </row>
    <row r="12" ht="16" customHeight="1">
      <c r="A12" s="12" t="n">
        <v>9</v>
      </c>
      <c r="B12" s="14" t="inlineStr">
        <is>
          <t>01/09/2024</t>
        </is>
      </c>
      <c r="C12" s="14" t="inlineStr">
        <is>
          <t>30/09/2024</t>
        </is>
      </c>
      <c r="D12" s="16" t="n">
        <v>537606.76</v>
      </c>
      <c r="E12" s="16" t="n">
        <v>2997897.3</v>
      </c>
      <c r="F12" s="16" t="n">
        <v>1363.51</v>
      </c>
      <c r="G12" s="16" t="n">
        <v>0</v>
      </c>
      <c r="H12" s="16" t="n">
        <v>2116.21</v>
      </c>
      <c r="I12" s="16" t="n">
        <v>538970.27</v>
      </c>
      <c r="J12" s="16" t="n">
        <v>3000013.51</v>
      </c>
    </row>
    <row r="13" ht="16" customHeight="1">
      <c r="A13" s="20" t="n">
        <v>10</v>
      </c>
      <c r="B13" s="22" t="inlineStr">
        <is>
          <t>01/10/2024</t>
        </is>
      </c>
      <c r="C13" s="22" t="inlineStr">
        <is>
          <t>31/10/2024</t>
        </is>
      </c>
      <c r="D13" s="24" t="n">
        <v>171164.96</v>
      </c>
      <c r="E13" s="24" t="n">
        <v>3169062.26</v>
      </c>
      <c r="F13" s="24" t="n">
        <v>538.72</v>
      </c>
      <c r="G13" s="27" t="n">
        <v>-2184.16</v>
      </c>
      <c r="H13" s="24" t="n">
        <v>470.77</v>
      </c>
      <c r="I13" s="24" t="n">
        <v>169519.52</v>
      </c>
      <c r="J13" s="24" t="n">
        <v>3169533.03</v>
      </c>
    </row>
    <row r="14" ht="16" customHeight="1">
      <c r="A14" s="12" t="n">
        <v>11</v>
      </c>
      <c r="B14" s="14" t="inlineStr">
        <is>
          <t>01/11/2024</t>
        </is>
      </c>
      <c r="C14" s="14" t="inlineStr">
        <is>
          <t>30/11/2024</t>
        </is>
      </c>
      <c r="D14" s="16" t="n">
        <v>0</v>
      </c>
      <c r="E14" s="16" t="n">
        <v>3169062.26</v>
      </c>
      <c r="F14" s="16" t="n">
        <v>0</v>
      </c>
      <c r="G14" s="16" t="n">
        <v>0</v>
      </c>
      <c r="H14" s="16" t="n">
        <v>470.77</v>
      </c>
      <c r="I14" s="16" t="n">
        <v>0</v>
      </c>
      <c r="J14" s="16" t="n">
        <v>3169533.03</v>
      </c>
    </row>
    <row r="15" ht="16" customHeight="1">
      <c r="A15" s="20" t="n">
        <v>12</v>
      </c>
      <c r="B15" s="22" t="inlineStr">
        <is>
          <t>01/12/2024</t>
        </is>
      </c>
      <c r="C15" s="22" t="inlineStr">
        <is>
          <t>31/12/2024</t>
        </is>
      </c>
      <c r="D15" s="24" t="n">
        <v>0</v>
      </c>
      <c r="E15" s="24" t="n">
        <v>3169062.26</v>
      </c>
      <c r="F15" s="24" t="n">
        <v>0</v>
      </c>
      <c r="G15" s="24" t="n">
        <v>0</v>
      </c>
      <c r="H15" s="24" t="n">
        <v>470.77</v>
      </c>
      <c r="I15" s="24" t="n">
        <v>0</v>
      </c>
      <c r="J15" s="24" t="n">
        <v>3169533.03</v>
      </c>
    </row>
    <row r="16" ht="16" customHeight="1">
      <c r="A16" s="12" t="n">
        <v>13</v>
      </c>
      <c r="B16" s="14" t="inlineStr">
        <is>
          <t>01/01/2025</t>
        </is>
      </c>
      <c r="C16" s="14" t="inlineStr">
        <is>
          <t>31/01/2025</t>
        </is>
      </c>
      <c r="D16" s="16" t="n">
        <v>728971.25</v>
      </c>
      <c r="E16" s="16" t="n">
        <v>3898033.51</v>
      </c>
      <c r="F16" s="16" t="n">
        <v>30179.51</v>
      </c>
      <c r="G16" s="29" t="n">
        <v>-9656.799999999999</v>
      </c>
      <c r="H16" s="16" t="n">
        <v>20993.48</v>
      </c>
      <c r="I16" s="16" t="n">
        <v>749493.96</v>
      </c>
      <c r="J16" s="16" t="n">
        <v>3919026.99</v>
      </c>
    </row>
    <row r="17" ht="16" customHeight="1">
      <c r="A17" s="20" t="n">
        <v>14</v>
      </c>
      <c r="B17" s="22" t="inlineStr">
        <is>
          <t>01/02/2025</t>
        </is>
      </c>
      <c r="C17" s="22" t="inlineStr">
        <is>
          <t>28/02/2025</t>
        </is>
      </c>
      <c r="D17" s="24" t="n">
        <v>448864.45</v>
      </c>
      <c r="E17" s="24" t="n">
        <v>4346897.96</v>
      </c>
      <c r="F17" s="24" t="n">
        <v>21124.33</v>
      </c>
      <c r="G17" s="27" t="n">
        <v>-7793.41</v>
      </c>
      <c r="H17" s="24" t="n">
        <v>34324.4</v>
      </c>
      <c r="I17" s="24" t="n">
        <v>462195.37</v>
      </c>
      <c r="J17" s="24" t="n">
        <v>4381222.36</v>
      </c>
    </row>
    <row r="18" ht="16" customHeight="1">
      <c r="A18" s="12" t="n">
        <v>15</v>
      </c>
      <c r="B18" s="14" t="inlineStr">
        <is>
          <t>01/03/2025</t>
        </is>
      </c>
      <c r="C18" s="14" t="inlineStr">
        <is>
          <t>31/03/2025</t>
        </is>
      </c>
      <c r="D18" s="16" t="n">
        <v>179978.06</v>
      </c>
      <c r="E18" s="16" t="n">
        <v>4526876.02</v>
      </c>
      <c r="F18" s="16" t="n">
        <v>7764.88</v>
      </c>
      <c r="G18" s="29" t="n">
        <v>-5842.53</v>
      </c>
      <c r="H18" s="16" t="n">
        <v>36246.75</v>
      </c>
      <c r="I18" s="16" t="n">
        <v>181900.41</v>
      </c>
      <c r="J18" s="16" t="n">
        <v>4563122.77</v>
      </c>
    </row>
    <row r="19" ht="16" customHeight="1">
      <c r="A19" s="20" t="n">
        <v>16</v>
      </c>
      <c r="B19" s="22" t="inlineStr">
        <is>
          <t>01/04/2025</t>
        </is>
      </c>
      <c r="C19" s="22" t="inlineStr">
        <is>
          <t>30/04/2025</t>
        </is>
      </c>
      <c r="D19" s="24" t="n">
        <v>210850.3</v>
      </c>
      <c r="E19" s="24" t="n">
        <v>4737726.32</v>
      </c>
      <c r="F19" s="24" t="n">
        <v>8999.049999999999</v>
      </c>
      <c r="G19" s="24" t="n">
        <v>0</v>
      </c>
      <c r="H19" s="24" t="n">
        <v>45245.8</v>
      </c>
      <c r="I19" s="24" t="n">
        <v>219849.35</v>
      </c>
      <c r="J19" s="24" t="n">
        <v>4782972.12</v>
      </c>
    </row>
    <row r="20" ht="16" customHeight="1">
      <c r="A20" s="12" t="n">
        <v>17</v>
      </c>
      <c r="B20" s="14" t="inlineStr">
        <is>
          <t>01/05/2025</t>
        </is>
      </c>
      <c r="C20" s="14" t="inlineStr">
        <is>
          <t>31/05/2025</t>
        </is>
      </c>
      <c r="D20" s="16" t="n">
        <v>222223.48</v>
      </c>
      <c r="E20" s="16" t="n">
        <v>4959949.8</v>
      </c>
      <c r="F20" s="16" t="n">
        <v>9987.33</v>
      </c>
      <c r="G20" s="16" t="n">
        <v>0</v>
      </c>
      <c r="H20" s="16" t="n">
        <v>55233.13</v>
      </c>
      <c r="I20" s="16" t="n">
        <v>232210.81</v>
      </c>
      <c r="J20" s="16" t="n">
        <v>5015182.93</v>
      </c>
    </row>
    <row r="21" ht="16" customHeight="1">
      <c r="A21" s="20" t="n">
        <v>18</v>
      </c>
      <c r="B21" s="22" t="inlineStr">
        <is>
          <t>01/06/2025</t>
        </is>
      </c>
      <c r="C21" s="22" t="inlineStr">
        <is>
          <t>30/06/2025</t>
        </is>
      </c>
      <c r="D21" s="24" t="n">
        <v>0</v>
      </c>
      <c r="E21" s="24" t="n">
        <v>4959949.8</v>
      </c>
      <c r="F21" s="24" t="n">
        <v>0</v>
      </c>
      <c r="G21" s="24" t="n">
        <v>0</v>
      </c>
      <c r="H21" s="24" t="n">
        <v>55233.13</v>
      </c>
      <c r="I21" s="24" t="n">
        <v>0</v>
      </c>
      <c r="J21" s="24" t="n">
        <v>5015182.93</v>
      </c>
    </row>
    <row r="22" ht="16" customHeight="1">
      <c r="A22" s="12" t="n">
        <v>19</v>
      </c>
      <c r="B22" s="14" t="inlineStr">
        <is>
          <t>01/07/2025</t>
        </is>
      </c>
      <c r="C22" s="14" t="inlineStr">
        <is>
          <t>31/07/2025</t>
        </is>
      </c>
      <c r="D22" s="16" t="n">
        <v>0</v>
      </c>
      <c r="E22" s="16" t="n">
        <v>4959949.8</v>
      </c>
      <c r="F22" s="16" t="n">
        <v>0</v>
      </c>
      <c r="G22" s="16" t="n">
        <v>0</v>
      </c>
      <c r="H22" s="16" t="n">
        <v>55233.13</v>
      </c>
      <c r="I22" s="16" t="n">
        <v>0</v>
      </c>
      <c r="J22" s="16" t="n">
        <v>5015182.93</v>
      </c>
    </row>
    <row r="23" ht="16" customHeight="1">
      <c r="A23" s="20" t="n">
        <v>20</v>
      </c>
      <c r="B23" s="22" t="inlineStr">
        <is>
          <t>01/08/2025</t>
        </is>
      </c>
      <c r="C23" s="22" t="inlineStr">
        <is>
          <t>31/08/2025</t>
        </is>
      </c>
      <c r="D23" s="24" t="n">
        <v>347441.65</v>
      </c>
      <c r="E23" s="24" t="n">
        <v>5307391.45</v>
      </c>
      <c r="F23" s="24" t="n">
        <v>16034.68</v>
      </c>
      <c r="G23" s="24" t="n">
        <v>0</v>
      </c>
      <c r="H23" s="24" t="n">
        <v>71267.81</v>
      </c>
      <c r="I23" s="24" t="n">
        <v>363476.33</v>
      </c>
      <c r="J23" s="24" t="n">
        <v>5378659.26</v>
      </c>
    </row>
    <row r="24" ht="16" customHeight="1">
      <c r="A24" s="12" t="n">
        <v>21</v>
      </c>
      <c r="B24" s="14" t="inlineStr">
        <is>
          <t>01/09/2025</t>
        </is>
      </c>
      <c r="C24" s="14" t="inlineStr">
        <is>
          <t>30/09/2025</t>
        </is>
      </c>
      <c r="D24" s="16" t="n">
        <v>0</v>
      </c>
      <c r="E24" s="16" t="n">
        <v>5307391.45</v>
      </c>
      <c r="F24" s="16" t="n">
        <v>0</v>
      </c>
      <c r="G24" s="16" t="n">
        <v>0</v>
      </c>
      <c r="H24" s="16" t="n">
        <v>71267.81</v>
      </c>
      <c r="I24" s="16" t="n">
        <v>0</v>
      </c>
      <c r="J24" s="16" t="n">
        <v>5378659.26</v>
      </c>
    </row>
    <row r="25" ht="16" customHeight="1">
      <c r="A25" s="20" t="n">
        <v>22</v>
      </c>
      <c r="B25" s="22" t="inlineStr">
        <is>
          <t>01/10/2025</t>
        </is>
      </c>
      <c r="C25" s="22" t="inlineStr">
        <is>
          <t>31/10/2025</t>
        </is>
      </c>
      <c r="D25" s="24" t="n">
        <v>401205.26</v>
      </c>
      <c r="E25" s="24" t="n">
        <v>5708596.71</v>
      </c>
      <c r="F25" s="24" t="n">
        <v>18533.26</v>
      </c>
      <c r="G25" s="24" t="n">
        <v>0</v>
      </c>
      <c r="H25" s="24" t="n">
        <v>89801.07000000001</v>
      </c>
      <c r="I25" s="24" t="n">
        <v>419738.52</v>
      </c>
      <c r="J25" s="24" t="n">
        <v>5798397.78</v>
      </c>
    </row>
    <row r="26" ht="16" customHeight="1">
      <c r="A26" s="12" t="n">
        <v>23</v>
      </c>
      <c r="B26" s="14" t="inlineStr">
        <is>
          <t>01/11/2025</t>
        </is>
      </c>
      <c r="C26" s="14" t="inlineStr">
        <is>
          <t>30/11/2025</t>
        </is>
      </c>
      <c r="D26" s="16" t="n">
        <v>118167.4</v>
      </c>
      <c r="E26" s="16" t="n">
        <v>5826764.11</v>
      </c>
      <c r="F26" s="16" t="n">
        <v>7793.22</v>
      </c>
      <c r="G26" s="16" t="n">
        <v>0</v>
      </c>
      <c r="H26" s="16" t="n">
        <v>97594.28999999999</v>
      </c>
      <c r="I26" s="16" t="n">
        <v>125960.62</v>
      </c>
      <c r="J26" s="16" t="n">
        <v>5924358.4</v>
      </c>
    </row>
    <row r="27" ht="16" customHeight="1">
      <c r="A27" s="20" t="n">
        <v>24</v>
      </c>
      <c r="B27" s="22" t="inlineStr">
        <is>
          <t>01/12/2025</t>
        </is>
      </c>
      <c r="C27" s="22" t="inlineStr">
        <is>
          <t>31/12/2025</t>
        </is>
      </c>
      <c r="D27" s="24" t="n">
        <v>84044.19</v>
      </c>
      <c r="E27" s="24" t="n">
        <v>5910808.3</v>
      </c>
      <c r="F27" s="24" t="n">
        <v>4050.73</v>
      </c>
      <c r="G27" s="24" t="n">
        <v>0</v>
      </c>
      <c r="H27" s="24" t="n">
        <v>101645.02</v>
      </c>
      <c r="I27" s="24" t="n">
        <v>88094.92</v>
      </c>
      <c r="J27" s="24" t="n">
        <v>6012453.32</v>
      </c>
    </row>
    <row r="28" ht="16" customHeight="1">
      <c r="A28" s="12" t="n">
        <v>25</v>
      </c>
      <c r="B28" s="14" t="inlineStr">
        <is>
          <t>01/01/2026</t>
        </is>
      </c>
      <c r="C28" s="14" t="inlineStr">
        <is>
          <t>31/01/2026</t>
        </is>
      </c>
      <c r="D28" s="16" t="n">
        <v>0</v>
      </c>
      <c r="E28" s="16" t="n">
        <v>5910808.3</v>
      </c>
      <c r="F28" s="16" t="n">
        <v>0</v>
      </c>
      <c r="G28" s="16" t="n">
        <v>0</v>
      </c>
      <c r="H28" s="16" t="n">
        <v>101645.02</v>
      </c>
      <c r="I28" s="16" t="n">
        <v>0</v>
      </c>
      <c r="J28" s="16" t="n">
        <v>6012453.32</v>
      </c>
    </row>
    <row r="29" ht="16" customHeight="1">
      <c r="A29" s="20" t="n">
        <v>26</v>
      </c>
      <c r="B29" s="22" t="inlineStr">
        <is>
          <t>01/02/2026</t>
        </is>
      </c>
      <c r="C29" s="22" t="inlineStr">
        <is>
          <t>28/02/2026</t>
        </is>
      </c>
      <c r="D29" s="24" t="n">
        <v>0</v>
      </c>
      <c r="E29" s="24" t="n">
        <v>5910808.3</v>
      </c>
      <c r="F29" s="24" t="n">
        <v>0</v>
      </c>
      <c r="G29" s="24" t="n">
        <v>0</v>
      </c>
      <c r="H29" s="24" t="n">
        <v>101645.02</v>
      </c>
      <c r="I29" s="24" t="n">
        <v>0</v>
      </c>
      <c r="J29" s="24" t="n">
        <v>6012453.32</v>
      </c>
    </row>
    <row r="30" ht="16" customHeight="1">
      <c r="A30" s="12" t="n">
        <v>27</v>
      </c>
      <c r="B30" s="14" t="inlineStr">
        <is>
          <t>01/03/2026</t>
        </is>
      </c>
      <c r="C30" s="14" t="inlineStr">
        <is>
          <t>31/03/2026</t>
        </is>
      </c>
      <c r="D30" s="16" t="n">
        <v>0</v>
      </c>
      <c r="E30" s="16" t="n">
        <v>5910808.3</v>
      </c>
      <c r="F30" s="16" t="n">
        <v>0</v>
      </c>
      <c r="G30" s="16" t="n">
        <v>0</v>
      </c>
      <c r="H30" s="16" t="n">
        <v>101645.02</v>
      </c>
      <c r="I30" s="16" t="n">
        <v>0</v>
      </c>
      <c r="J30" s="16" t="n">
        <v>6012453.32</v>
      </c>
    </row>
    <row r="31" ht="16" customHeight="1">
      <c r="A31" s="20" t="n">
        <v>28</v>
      </c>
      <c r="B31" s="22" t="inlineStr">
        <is>
          <t>01/04/2026</t>
        </is>
      </c>
      <c r="C31" s="22" t="inlineStr">
        <is>
          <t>30/04/2026</t>
        </is>
      </c>
      <c r="D31" s="24" t="n">
        <v>0</v>
      </c>
      <c r="E31" s="24" t="n">
        <v>5910808.3</v>
      </c>
      <c r="F31" s="24" t="n">
        <v>0</v>
      </c>
      <c r="G31" s="24" t="n">
        <v>0</v>
      </c>
      <c r="H31" s="24" t="n">
        <v>101645.02</v>
      </c>
      <c r="I31" s="24" t="n">
        <v>0</v>
      </c>
      <c r="J31" s="24" t="n">
        <v>6012453.32</v>
      </c>
    </row>
    <row r="32" ht="16" customHeight="1">
      <c r="A32" s="12" t="n">
        <v>29</v>
      </c>
      <c r="B32" s="14" t="inlineStr">
        <is>
          <t>01/05/2026</t>
        </is>
      </c>
      <c r="C32" s="14" t="inlineStr">
        <is>
          <t>31/05/2026</t>
        </is>
      </c>
      <c r="D32" s="16" t="n">
        <v>184383.06</v>
      </c>
      <c r="E32" s="16" t="n">
        <v>6095191.36</v>
      </c>
      <c r="F32" s="16" t="n">
        <v>13418.17</v>
      </c>
      <c r="G32" s="16" t="n">
        <v>0</v>
      </c>
      <c r="H32" s="16" t="n">
        <v>115063.19</v>
      </c>
      <c r="I32" s="16" t="n">
        <v>197801.23</v>
      </c>
      <c r="J32" s="16" t="n">
        <v>6210254.55</v>
      </c>
    </row>
    <row r="33" ht="16" customHeight="1">
      <c r="A33" s="20" t="n">
        <v>30</v>
      </c>
      <c r="B33" s="22" t="inlineStr">
        <is>
          <t>01/06/2026</t>
        </is>
      </c>
      <c r="C33" s="22" t="inlineStr">
        <is>
          <t>30/06/2026</t>
        </is>
      </c>
      <c r="D33" s="24" t="n">
        <v>118481.63</v>
      </c>
      <c r="E33" s="24" t="n">
        <v>6213672.99</v>
      </c>
      <c r="F33" s="24" t="n">
        <v>8649.049999999999</v>
      </c>
      <c r="G33" s="24" t="n">
        <v>0</v>
      </c>
      <c r="H33" s="24" t="n">
        <v>123712.24</v>
      </c>
      <c r="I33" s="24" t="n">
        <v>127130.68</v>
      </c>
      <c r="J33" s="24" t="n">
        <v>6337385.23</v>
      </c>
    </row>
    <row r="34" ht="16" customHeight="1">
      <c r="A34" s="12" t="n">
        <v>31</v>
      </c>
      <c r="B34" s="14" t="inlineStr">
        <is>
          <t>01/07/2026</t>
        </is>
      </c>
      <c r="C34" s="14" t="inlineStr">
        <is>
          <t>31/07/2026</t>
        </is>
      </c>
      <c r="D34" s="16" t="n">
        <v>230445.46</v>
      </c>
      <c r="E34" s="16" t="n">
        <v>6444118.45</v>
      </c>
      <c r="F34" s="16" t="n">
        <v>16112.12</v>
      </c>
      <c r="G34" s="16" t="n">
        <v>0</v>
      </c>
      <c r="H34" s="16" t="n">
        <v>139824.36</v>
      </c>
      <c r="I34" s="16" t="n">
        <v>246557.58</v>
      </c>
      <c r="J34" s="16" t="n">
        <v>6583942.81</v>
      </c>
    </row>
    <row r="35" ht="22" customHeight="1">
      <c r="A35" s="47" t="inlineStr">
        <is>
          <t>% DO CONTRATO (R$ 11.371.194,85)</t>
        </is>
      </c>
      <c r="B35" s="48" t="n"/>
      <c r="C35" s="48" t="n"/>
      <c r="D35" s="48" t="n"/>
      <c r="E35" s="49">
        <f>E34/11371194.85</f>
        <v/>
      </c>
      <c r="F35" s="48" t="n"/>
      <c r="G35" s="48" t="n"/>
      <c r="H35" s="48" t="n"/>
      <c r="I35" s="48" t="n"/>
      <c r="J35" s="49">
        <f>J34/11713716.71</f>
        <v/>
      </c>
    </row>
  </sheetData>
  <mergeCells count="3">
    <mergeCell ref="A35:C35"/>
    <mergeCell ref="A1:J1"/>
    <mergeCell ref="A2:J2"/>
  </mergeCells>
  <pageMargins left="0.75" right="0.75" top="1" bottom="1" header="0.5" footer="0.5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7" customWidth="1" min="3" max="3"/>
    <col width="14" customWidth="1" min="4" max="4"/>
    <col width="14" customWidth="1" min="5" max="5"/>
    <col width="16" customWidth="1" min="6" max="6"/>
    <col width="10" customWidth="1" min="7" max="7"/>
  </cols>
  <sheetData>
    <row r="1" ht="30" customHeight="1">
      <c r="A1" s="1" t="inlineStr">
        <is>
          <t>RELATÓRIO DE SALDO A EXECUTAR EM MEDIÇÕES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Contrato 14 00729/2023 — MATERA ENGENHARIA LTDA — Medição 31</t>
        </is>
      </c>
      <c r="B2" s="4" t="n"/>
      <c r="C2" s="4" t="n"/>
      <c r="D2" s="4" t="n"/>
      <c r="E2" s="4" t="n"/>
      <c r="F2" s="4" t="n"/>
      <c r="G2" s="4" t="n"/>
    </row>
    <row r="3" ht="28" customHeight="1">
      <c r="A3" s="8" t="inlineStr">
        <is>
          <t>Item</t>
        </is>
      </c>
      <c r="B3" s="8" t="inlineStr">
        <is>
          <t>Descrição</t>
        </is>
      </c>
      <c r="C3" s="8" t="inlineStr">
        <is>
          <t>Und</t>
        </is>
      </c>
      <c r="D3" s="8" t="inlineStr">
        <is>
          <t>Qtd a Executar</t>
        </is>
      </c>
      <c r="E3" s="8" t="inlineStr">
        <is>
          <t>Preço Unitário (R$)</t>
        </is>
      </c>
      <c r="F3" s="8" t="inlineStr">
        <is>
          <t>Valor PI a Executar (R$)</t>
        </is>
      </c>
      <c r="G3" s="8" t="inlineStr">
        <is>
          <t>% Conclusão</t>
        </is>
      </c>
    </row>
    <row r="4" ht="20" customHeight="1">
      <c r="A4" s="11" t="inlineStr">
        <is>
          <t>1.0 — SERVIÇOS DE MANUTENÇÃO</t>
        </is>
      </c>
      <c r="B4" s="4" t="n"/>
      <c r="C4" s="4" t="n"/>
      <c r="D4" s="4" t="n"/>
      <c r="E4" s="4" t="n"/>
      <c r="F4" s="4" t="n"/>
      <c r="G4" s="4" t="n"/>
    </row>
    <row r="5" ht="15" customHeight="1">
      <c r="A5" s="12" t="inlineStr">
        <is>
          <t>49381</t>
        </is>
      </c>
      <c r="B5" s="13" t="inlineStr">
        <is>
          <t>Roçada com roçadeira costal</t>
        </is>
      </c>
      <c r="C5" s="14" t="inlineStr">
        <is>
          <t>HA</t>
        </is>
      </c>
      <c r="D5" s="15" t="n">
        <v>0.385</v>
      </c>
      <c r="E5" s="16" t="n">
        <v>800.6</v>
      </c>
      <c r="F5" s="16" t="n">
        <v>308.23</v>
      </c>
      <c r="G5" s="18" t="n">
        <v>0</v>
      </c>
    </row>
    <row r="6" ht="15" customHeight="1">
      <c r="A6" s="20" t="inlineStr">
        <is>
          <t>49684</t>
        </is>
      </c>
      <c r="B6" s="21" t="inlineStr">
        <is>
          <t>Limpeza em junta de dilatação</t>
        </is>
      </c>
      <c r="C6" s="22" t="inlineStr">
        <is>
          <t>M</t>
        </is>
      </c>
      <c r="D6" s="23" t="n">
        <v>747100</v>
      </c>
      <c r="E6" s="24" t="n">
        <v>3.77</v>
      </c>
      <c r="F6" s="24" t="n">
        <v>2816.57</v>
      </c>
      <c r="G6" s="25" t="n">
        <v>0.0133</v>
      </c>
    </row>
    <row r="7" ht="15" customHeight="1">
      <c r="A7" s="12" t="inlineStr">
        <is>
          <t>49686</t>
        </is>
      </c>
      <c r="B7" s="13" t="inlineStr">
        <is>
          <t>Poda de árvores com até 5 m de altura</t>
        </is>
      </c>
      <c r="C7" s="14" t="inlineStr">
        <is>
          <t>M³</t>
        </is>
      </c>
      <c r="D7" s="17" t="n">
        <v>9500</v>
      </c>
      <c r="E7" s="16" t="n">
        <v>229.24</v>
      </c>
      <c r="F7" s="16" t="n">
        <v>2177.78</v>
      </c>
      <c r="G7" s="18" t="n">
        <v>0</v>
      </c>
    </row>
    <row r="8" ht="15" customHeight="1">
      <c r="A8" s="20" t="inlineStr">
        <is>
          <t>50281</t>
        </is>
      </c>
      <c r="B8" s="21" t="inlineStr">
        <is>
          <t>Recomp. erosão em corte ou aterro</t>
        </is>
      </c>
      <c r="C8" s="22" t="inlineStr">
        <is>
          <t>M³</t>
        </is>
      </c>
      <c r="D8" s="23" t="n">
        <v>315250</v>
      </c>
      <c r="E8" s="24" t="n">
        <v>21.61</v>
      </c>
      <c r="F8" s="24" t="n">
        <v>6812.55</v>
      </c>
      <c r="G8" s="25" t="n">
        <v>0.1859</v>
      </c>
    </row>
    <row r="9" ht="15" customHeight="1">
      <c r="A9" s="12" t="inlineStr">
        <is>
          <t>50329</t>
        </is>
      </c>
      <c r="B9" s="13" t="inlineStr">
        <is>
          <t>Remoção manual vegetação daninha frestas</t>
        </is>
      </c>
      <c r="C9" s="14" t="inlineStr">
        <is>
          <t>M</t>
        </is>
      </c>
      <c r="D9" s="17" t="n">
        <v>7285012</v>
      </c>
      <c r="E9" s="16" t="n">
        <v>2.62</v>
      </c>
      <c r="F9" s="16" t="n">
        <v>19086.73</v>
      </c>
      <c r="G9" s="18" t="n">
        <v>0</v>
      </c>
    </row>
    <row r="10" ht="15" customHeight="1">
      <c r="A10" s="20" t="inlineStr">
        <is>
          <t>51114</t>
        </is>
      </c>
      <c r="B10" s="21" t="inlineStr">
        <is>
          <t>Pintura manual nata de cimento — 3 demãos</t>
        </is>
      </c>
      <c r="C10" s="22" t="inlineStr">
        <is>
          <t>M²</t>
        </is>
      </c>
      <c r="D10" s="23" t="n">
        <v>0</v>
      </c>
      <c r="E10" s="24" t="n">
        <v>5.28</v>
      </c>
      <c r="F10" s="24" t="n">
        <v>0.04</v>
      </c>
      <c r="G10" s="25" t="n">
        <v>1</v>
      </c>
    </row>
    <row r="11" ht="15" customHeight="1">
      <c r="A11" s="12" t="inlineStr">
        <is>
          <t>51909</t>
        </is>
      </c>
      <c r="B11" s="13" t="inlineStr">
        <is>
          <t>Terminal ancoragem defensa metálica</t>
        </is>
      </c>
      <c r="C11" s="14" t="inlineStr">
        <is>
          <t>UND</t>
        </is>
      </c>
      <c r="D11" s="17" t="n">
        <v>3000</v>
      </c>
      <c r="E11" s="16" t="n">
        <v>548.63</v>
      </c>
      <c r="F11" s="16" t="n">
        <v>1645.89</v>
      </c>
      <c r="G11" s="18" t="n">
        <v>0</v>
      </c>
    </row>
    <row r="12" ht="15" customHeight="1">
      <c r="A12" s="20" t="inlineStr">
        <is>
          <t>52446</t>
        </is>
      </c>
      <c r="B12" s="21" t="inlineStr">
        <is>
          <t>Limpeza desobstrução dispositivos drenagem OAE</t>
        </is>
      </c>
      <c r="C12" s="22" t="inlineStr">
        <is>
          <t>UND</t>
        </is>
      </c>
      <c r="D12" s="23" t="n">
        <v>858000</v>
      </c>
      <c r="E12" s="24" t="n">
        <v>5.26</v>
      </c>
      <c r="F12" s="24" t="n">
        <v>4513.08</v>
      </c>
      <c r="G12" s="25" t="n">
        <v>0.3217</v>
      </c>
    </row>
    <row r="13" ht="15" customHeight="1">
      <c r="A13" s="12" t="inlineStr">
        <is>
          <t>83154</t>
        </is>
      </c>
      <c r="B13" s="13" t="inlineStr">
        <is>
          <t>Caiação manual com fixador de cal</t>
        </is>
      </c>
      <c r="C13" s="14" t="inlineStr">
        <is>
          <t>M²</t>
        </is>
      </c>
      <c r="D13" s="17" t="n">
        <v>2680559</v>
      </c>
      <c r="E13" s="16" t="n">
        <v>3.26</v>
      </c>
      <c r="F13" s="16" t="n">
        <v>8738.66</v>
      </c>
      <c r="G13" s="18" t="n">
        <v>0.7689</v>
      </c>
    </row>
    <row r="14" ht="15" customHeight="1">
      <c r="A14" s="20" t="inlineStr">
        <is>
          <t>86440</t>
        </is>
      </c>
      <c r="B14" s="21" t="inlineStr">
        <is>
          <t>Remoção manual revestimento asfáltico</t>
        </is>
      </c>
      <c r="C14" s="22" t="inlineStr">
        <is>
          <t>M³</t>
        </is>
      </c>
      <c r="D14" s="23" t="n">
        <v>33137</v>
      </c>
      <c r="E14" s="24" t="n">
        <v>263.42</v>
      </c>
      <c r="F14" s="24" t="n">
        <v>8728.940000000001</v>
      </c>
      <c r="G14" s="25" t="n">
        <v>0</v>
      </c>
    </row>
    <row r="15" ht="15" customHeight="1">
      <c r="A15" s="12" t="inlineStr">
        <is>
          <t>86884</t>
        </is>
      </c>
      <c r="B15" s="13" t="inlineStr">
        <is>
          <t>Remoção manual vegetação daninha</t>
        </is>
      </c>
      <c r="C15" s="14" t="inlineStr">
        <is>
          <t>M²</t>
        </is>
      </c>
      <c r="D15" s="17" t="n">
        <v>1440400</v>
      </c>
      <c r="E15" s="16" t="n">
        <v>5.26</v>
      </c>
      <c r="F15" s="16" t="n">
        <v>7576.5</v>
      </c>
      <c r="G15" s="18" t="n">
        <v>0</v>
      </c>
    </row>
    <row r="16" ht="15" customHeight="1">
      <c r="A16" s="20" t="inlineStr">
        <is>
          <t>91982</t>
        </is>
      </c>
      <c r="B16" s="21" t="inlineStr">
        <is>
          <t>Recomp. guarda-corpo agregados comerciais</t>
        </is>
      </c>
      <c r="C16" s="22" t="inlineStr">
        <is>
          <t>M</t>
        </is>
      </c>
      <c r="D16" s="23" t="n">
        <v>170000</v>
      </c>
      <c r="E16" s="24" t="n">
        <v>128.93</v>
      </c>
      <c r="F16" s="24" t="n">
        <v>21918.1</v>
      </c>
      <c r="G16" s="25" t="n">
        <v>0.3089</v>
      </c>
    </row>
    <row r="17" ht="15" customHeight="1">
      <c r="A17" s="12" t="inlineStr">
        <is>
          <t>92940</t>
        </is>
      </c>
      <c r="B17" s="13" t="inlineStr">
        <is>
          <t>Argamassa p/ reparos grauteamento</t>
        </is>
      </c>
      <c r="C17" s="14" t="inlineStr">
        <is>
          <t>M³</t>
        </is>
      </c>
      <c r="D17" s="17" t="n">
        <v>60299</v>
      </c>
      <c r="E17" s="16" t="n">
        <v>3311.85</v>
      </c>
      <c r="F17" s="16" t="n">
        <v>199701.24</v>
      </c>
      <c r="G17" s="18" t="n">
        <v>0</v>
      </c>
    </row>
    <row r="18" ht="15" customHeight="1">
      <c r="A18" s="20" t="inlineStr">
        <is>
          <t>92943</t>
        </is>
      </c>
      <c r="B18" s="21" t="inlineStr">
        <is>
          <t>Plataforma trabalho aço tubular 6-8 m</t>
        </is>
      </c>
      <c r="C18" s="22" t="inlineStr">
        <is>
          <t>M³</t>
        </is>
      </c>
      <c r="D18" s="23" t="n">
        <v>12467976</v>
      </c>
      <c r="E18" s="24" t="n">
        <v>12.34</v>
      </c>
      <c r="F18" s="24" t="n">
        <v>153854.83</v>
      </c>
      <c r="G18" s="25" t="n">
        <v>0.386</v>
      </c>
    </row>
    <row r="19" ht="15" customHeight="1">
      <c r="A19" s="12" t="inlineStr">
        <is>
          <t>92944</t>
        </is>
      </c>
      <c r="B19" s="13" t="inlineStr">
        <is>
          <t>Recomp. dreno tubo aço galv. D=80mm</t>
        </is>
      </c>
      <c r="C19" s="14" t="inlineStr">
        <is>
          <t>UN</t>
        </is>
      </c>
      <c r="D19" s="17" t="n">
        <v>0</v>
      </c>
      <c r="E19" s="16" t="n">
        <v>85.22</v>
      </c>
      <c r="F19" s="16" t="n">
        <v>0</v>
      </c>
      <c r="G19" s="18" t="n">
        <v>1</v>
      </c>
    </row>
    <row r="20" ht="15" customHeight="1">
      <c r="A20" s="20" t="inlineStr">
        <is>
          <t>95165</t>
        </is>
      </c>
      <c r="B20" s="21" t="inlineStr">
        <is>
          <t>Fornec. aplicação adesivo estrutural epóxi</t>
        </is>
      </c>
      <c r="C20" s="22" t="inlineStr">
        <is>
          <t>KG</t>
        </is>
      </c>
      <c r="D20" s="23" t="n">
        <v>58360</v>
      </c>
      <c r="E20" s="24" t="n">
        <v>76.04000000000001</v>
      </c>
      <c r="F20" s="24" t="n">
        <v>4437.69</v>
      </c>
      <c r="G20" s="25" t="n">
        <v>0</v>
      </c>
    </row>
    <row r="21" ht="15" customHeight="1">
      <c r="A21" s="12" t="inlineStr">
        <is>
          <t>95938</t>
        </is>
      </c>
      <c r="B21" s="13" t="inlineStr">
        <is>
          <t>Apicoamento manual de concreto</t>
        </is>
      </c>
      <c r="C21" s="14" t="inlineStr">
        <is>
          <t>M²</t>
        </is>
      </c>
      <c r="D21" s="17" t="n">
        <v>583850</v>
      </c>
      <c r="E21" s="16" t="n">
        <v>22.55</v>
      </c>
      <c r="F21" s="16" t="n">
        <v>13165.81</v>
      </c>
      <c r="G21" s="18" t="n">
        <v>0</v>
      </c>
    </row>
    <row r="22" ht="15" customHeight="1">
      <c r="A22" s="20" t="inlineStr">
        <is>
          <t>97364</t>
        </is>
      </c>
      <c r="B22" s="21" t="inlineStr">
        <is>
          <t>Bico perfuração injeção adesivo epóxi</t>
        </is>
      </c>
      <c r="C22" s="22" t="inlineStr">
        <is>
          <t>UN</t>
        </is>
      </c>
      <c r="D22" s="23" t="n">
        <v>830000</v>
      </c>
      <c r="E22" s="24" t="n">
        <v>8.369999999999999</v>
      </c>
      <c r="F22" s="24" t="n">
        <v>6947.1</v>
      </c>
      <c r="G22" s="25" t="n">
        <v>0</v>
      </c>
    </row>
    <row r="23" ht="15" customHeight="1">
      <c r="A23" s="12" t="inlineStr">
        <is>
          <t>97365</t>
        </is>
      </c>
      <c r="B23" s="13" t="inlineStr">
        <is>
          <t>Selagem superficial fissuras adesivo epóxi</t>
        </is>
      </c>
      <c r="C23" s="14" t="inlineStr">
        <is>
          <t>KG</t>
        </is>
      </c>
      <c r="D23" s="17" t="n">
        <v>11250</v>
      </c>
      <c r="E23" s="16" t="n">
        <v>70.36</v>
      </c>
      <c r="F23" s="16" t="n">
        <v>791.55</v>
      </c>
      <c r="G23" s="18" t="n">
        <v>0</v>
      </c>
    </row>
    <row r="24" ht="15" customHeight="1">
      <c r="A24" s="20" t="inlineStr">
        <is>
          <t>97472</t>
        </is>
      </c>
      <c r="B24" s="21" t="inlineStr">
        <is>
          <t>Concreto FCK=30 MPa</t>
        </is>
      </c>
      <c r="C24" s="22" t="inlineStr">
        <is>
          <t>M³</t>
        </is>
      </c>
      <c r="D24" s="23" t="n">
        <v>0</v>
      </c>
      <c r="E24" s="24" t="n">
        <v>431.63</v>
      </c>
      <c r="F24" s="24" t="n">
        <v>0</v>
      </c>
      <c r="G24" s="25" t="n">
        <v>1</v>
      </c>
    </row>
    <row r="25" ht="15" customHeight="1">
      <c r="A25" s="12" t="inlineStr">
        <is>
          <t>97473</t>
        </is>
      </c>
      <c r="B25" s="13" t="inlineStr">
        <is>
          <t>Concreto projetado via seca — inclinadas</t>
        </is>
      </c>
      <c r="C25" s="14" t="inlineStr">
        <is>
          <t>M³</t>
        </is>
      </c>
      <c r="D25" s="17" t="n">
        <v>31400</v>
      </c>
      <c r="E25" s="16" t="n">
        <v>947.5</v>
      </c>
      <c r="F25" s="16" t="n">
        <v>29751.5</v>
      </c>
      <c r="G25" s="18" t="n">
        <v>0</v>
      </c>
    </row>
    <row r="26" ht="15" customHeight="1">
      <c r="A26" s="20" t="inlineStr">
        <is>
          <t>97474</t>
        </is>
      </c>
      <c r="B26" s="21" t="inlineStr">
        <is>
          <t>Concreto projetado via seca — teto</t>
        </is>
      </c>
      <c r="C26" s="22" t="inlineStr">
        <is>
          <t>M³</t>
        </is>
      </c>
      <c r="D26" s="23" t="n">
        <v>51200</v>
      </c>
      <c r="E26" s="24" t="n">
        <v>1412.63</v>
      </c>
      <c r="F26" s="24" t="n">
        <v>72326.64999999999</v>
      </c>
      <c r="G26" s="25" t="n">
        <v>0</v>
      </c>
    </row>
    <row r="27" ht="15" customHeight="1">
      <c r="A27" s="12" t="inlineStr">
        <is>
          <t>97477</t>
        </is>
      </c>
      <c r="B27" s="13" t="inlineStr">
        <is>
          <t>Perfuração concreto coroa diamantada D=20mm</t>
        </is>
      </c>
      <c r="C27" s="14" t="inlineStr">
        <is>
          <t>M</t>
        </is>
      </c>
      <c r="D27" s="17" t="n">
        <v>102000</v>
      </c>
      <c r="E27" s="16" t="n">
        <v>115</v>
      </c>
      <c r="F27" s="16" t="n">
        <v>11730</v>
      </c>
      <c r="G27" s="18" t="n">
        <v>0</v>
      </c>
    </row>
    <row r="28" ht="15" customHeight="1">
      <c r="A28" s="20" t="inlineStr">
        <is>
          <t>97479</t>
        </is>
      </c>
      <c r="B28" s="21" t="inlineStr">
        <is>
          <t>Pintura anticorrosiva epóxi poliamida</t>
        </is>
      </c>
      <c r="C28" s="22" t="inlineStr">
        <is>
          <t>M²</t>
        </is>
      </c>
      <c r="D28" s="23" t="n">
        <v>0</v>
      </c>
      <c r="E28" s="24" t="n">
        <v>12.98</v>
      </c>
      <c r="F28" s="24" t="n">
        <v>0</v>
      </c>
      <c r="G28" s="25" t="n">
        <v>1</v>
      </c>
    </row>
    <row r="29" ht="15" customHeight="1">
      <c r="A29" s="12" t="inlineStr">
        <is>
          <t>97480</t>
        </is>
      </c>
      <c r="B29" s="13" t="inlineStr">
        <is>
          <t>Fôrmas compensado plastificado 10mm</t>
        </is>
      </c>
      <c r="C29" s="14" t="inlineStr">
        <is>
          <t>M²</t>
        </is>
      </c>
      <c r="D29" s="17" t="n">
        <v>0</v>
      </c>
      <c r="E29" s="16" t="n">
        <v>84.92</v>
      </c>
      <c r="F29" s="16" t="n">
        <v>0</v>
      </c>
      <c r="G29" s="18" t="n">
        <v>1</v>
      </c>
    </row>
    <row r="30" ht="15" customHeight="1">
      <c r="A30" s="20" t="inlineStr">
        <is>
          <t>97482</t>
        </is>
      </c>
      <c r="B30" s="21" t="inlineStr">
        <is>
          <t>Limpeza superf. concreto jateamento</t>
        </is>
      </c>
      <c r="C30" s="22" t="inlineStr">
        <is>
          <t>M²</t>
        </is>
      </c>
      <c r="D30" s="23" t="n">
        <v>0</v>
      </c>
      <c r="E30" s="24" t="n">
        <v>1.5</v>
      </c>
      <c r="F30" s="24" t="n">
        <v>0.04</v>
      </c>
      <c r="G30" s="25" t="n">
        <v>1</v>
      </c>
    </row>
    <row r="31" ht="15" customHeight="1">
      <c r="A31" s="12" t="inlineStr">
        <is>
          <t>97486</t>
        </is>
      </c>
      <c r="B31" s="13" t="inlineStr">
        <is>
          <t>Restauração berços apoio junta dilatação</t>
        </is>
      </c>
      <c r="C31" s="14" t="inlineStr">
        <is>
          <t>M</t>
        </is>
      </c>
      <c r="D31" s="17" t="n">
        <v>1021150</v>
      </c>
      <c r="E31" s="16" t="n">
        <v>1709.1</v>
      </c>
      <c r="F31" s="16" t="n">
        <v>1745247.46</v>
      </c>
      <c r="G31" s="18" t="n">
        <v>0.4154</v>
      </c>
    </row>
    <row r="32" ht="15" customHeight="1">
      <c r="A32" s="20" t="inlineStr">
        <is>
          <t>97488</t>
        </is>
      </c>
      <c r="B32" s="21" t="inlineStr">
        <is>
          <t>Remoção concreto jateamento alta pressão</t>
        </is>
      </c>
      <c r="C32" s="22" t="inlineStr">
        <is>
          <t>M³</t>
        </is>
      </c>
      <c r="D32" s="23" t="n">
        <v>25780</v>
      </c>
      <c r="E32" s="24" t="n">
        <v>330.43</v>
      </c>
      <c r="F32" s="24" t="n">
        <v>8518.48</v>
      </c>
      <c r="G32" s="25" t="n">
        <v>0</v>
      </c>
    </row>
    <row r="33" ht="15" customHeight="1">
      <c r="A33" s="12" t="inlineStr">
        <is>
          <t>97489</t>
        </is>
      </c>
      <c r="B33" s="13" t="inlineStr">
        <is>
          <t>Demolição controlada concreto martelete</t>
        </is>
      </c>
      <c r="C33" s="14" t="inlineStr">
        <is>
          <t>M³</t>
        </is>
      </c>
      <c r="D33" s="17" t="n">
        <v>26766</v>
      </c>
      <c r="E33" s="16" t="n">
        <v>465.81</v>
      </c>
      <c r="F33" s="16" t="n">
        <v>12467.87</v>
      </c>
      <c r="G33" s="18" t="n">
        <v>0.0355</v>
      </c>
    </row>
    <row r="34" ht="15" customHeight="1">
      <c r="A34" s="20" t="inlineStr">
        <is>
          <t>97492</t>
        </is>
      </c>
      <c r="B34" s="21" t="inlineStr">
        <is>
          <t>Limpeza remoção material retido OAE</t>
        </is>
      </c>
      <c r="C34" s="22" t="inlineStr">
        <is>
          <t>M³</t>
        </is>
      </c>
      <c r="D34" s="23" t="n">
        <v>96200</v>
      </c>
      <c r="E34" s="24" t="n">
        <v>26.34</v>
      </c>
      <c r="F34" s="24" t="n">
        <v>2533.9</v>
      </c>
      <c r="G34" s="25" t="n">
        <v>0</v>
      </c>
    </row>
    <row r="35" ht="15" customHeight="1">
      <c r="A35" s="12" t="inlineStr">
        <is>
          <t>97493</t>
        </is>
      </c>
      <c r="B35" s="13" t="inlineStr">
        <is>
          <t>Injeção adesivo epóxi baixa visc. fissuras</t>
        </is>
      </c>
      <c r="C35" s="14" t="inlineStr">
        <is>
          <t>KG</t>
        </is>
      </c>
      <c r="D35" s="17" t="n">
        <v>59500</v>
      </c>
      <c r="E35" s="16" t="n">
        <v>250.85</v>
      </c>
      <c r="F35" s="16" t="n">
        <v>14925.57</v>
      </c>
      <c r="G35" s="18" t="n">
        <v>0</v>
      </c>
    </row>
    <row r="36" ht="15" customHeight="1">
      <c r="A36" s="20" t="inlineStr">
        <is>
          <t>97799</t>
        </is>
      </c>
      <c r="B36" s="21" t="inlineStr">
        <is>
          <t>Plataforma trabalho aço tubular 4-6 m</t>
        </is>
      </c>
      <c r="C36" s="22" t="inlineStr">
        <is>
          <t>M³</t>
        </is>
      </c>
      <c r="D36" s="23" t="n">
        <v>0</v>
      </c>
      <c r="E36" s="24" t="n">
        <v>19.81</v>
      </c>
      <c r="F36" s="24" t="n">
        <v>0.02</v>
      </c>
      <c r="G36" s="25" t="n">
        <v>1</v>
      </c>
    </row>
    <row r="37" ht="15" customHeight="1">
      <c r="A37" s="12" t="inlineStr">
        <is>
          <t>97804</t>
        </is>
      </c>
      <c r="B37" s="13" t="inlineStr">
        <is>
          <t>Armação aço CA/50</t>
        </is>
      </c>
      <c r="C37" s="14" t="inlineStr">
        <is>
          <t>KG</t>
        </is>
      </c>
      <c r="D37" s="17" t="n">
        <v>3235100</v>
      </c>
      <c r="E37" s="16" t="n">
        <v>13.66</v>
      </c>
      <c r="F37" s="16" t="n">
        <v>44191.46</v>
      </c>
      <c r="G37" s="18" t="n">
        <v>0</v>
      </c>
    </row>
    <row r="38" ht="15" customHeight="1">
      <c r="A38" s="20" t="inlineStr">
        <is>
          <t>97895</t>
        </is>
      </c>
      <c r="B38" s="21" t="inlineStr">
        <is>
          <t>Limpeza aparelhos apoio OAE</t>
        </is>
      </c>
      <c r="C38" s="22" t="inlineStr">
        <is>
          <t>UND</t>
        </is>
      </c>
      <c r="D38" s="23" t="n">
        <v>165000</v>
      </c>
      <c r="E38" s="24" t="n">
        <v>98.93000000000001</v>
      </c>
      <c r="F38" s="24" t="n">
        <v>16323.45</v>
      </c>
      <c r="G38" s="25" t="n">
        <v>0.7959999999999999</v>
      </c>
    </row>
    <row r="39" ht="15" customHeight="1">
      <c r="A39" s="12" t="inlineStr">
        <is>
          <t>99278</t>
        </is>
      </c>
      <c r="B39" s="13" t="inlineStr">
        <is>
          <t>Fôrma metálica curva chapa 3/16"</t>
        </is>
      </c>
      <c r="C39" s="14" t="inlineStr">
        <is>
          <t>M²</t>
        </is>
      </c>
      <c r="D39" s="17" t="n">
        <v>8000</v>
      </c>
      <c r="E39" s="16" t="n">
        <v>21.47</v>
      </c>
      <c r="F39" s="16" t="n">
        <v>171.76</v>
      </c>
      <c r="G39" s="18" t="n">
        <v>0</v>
      </c>
    </row>
    <row r="40" ht="15" customHeight="1">
      <c r="A40" s="20" t="inlineStr">
        <is>
          <t>99279</t>
        </is>
      </c>
      <c r="B40" s="21" t="inlineStr">
        <is>
          <t>Pingadeira elastômero 40x40mm</t>
        </is>
      </c>
      <c r="C40" s="22" t="inlineStr">
        <is>
          <t>M</t>
        </is>
      </c>
      <c r="D40" s="23" t="n">
        <v>0</v>
      </c>
      <c r="E40" s="24" t="n">
        <v>189.13</v>
      </c>
      <c r="F40" s="24" t="n">
        <v>0.01</v>
      </c>
      <c r="G40" s="25" t="n">
        <v>1</v>
      </c>
    </row>
    <row r="41" ht="15" customHeight="1">
      <c r="A41" s="12" t="inlineStr">
        <is>
          <t>99280</t>
        </is>
      </c>
      <c r="B41" s="13" t="inlineStr">
        <is>
          <t>Plataforma suspensa tabuleiro pontes</t>
        </is>
      </c>
      <c r="C41" s="14" t="inlineStr">
        <is>
          <t>M²</t>
        </is>
      </c>
      <c r="D41" s="17" t="n">
        <v>0</v>
      </c>
      <c r="E41" s="16" t="n">
        <v>68.47</v>
      </c>
      <c r="F41" s="16" t="n">
        <v>0.03</v>
      </c>
      <c r="G41" s="18" t="n">
        <v>1</v>
      </c>
    </row>
    <row r="42" ht="15" customHeight="1">
      <c r="A42" s="20" t="inlineStr">
        <is>
          <t>99281</t>
        </is>
      </c>
      <c r="B42" s="21" t="inlineStr">
        <is>
          <t>Recomp. dreno tubo aço galv. D=100mm</t>
        </is>
      </c>
      <c r="C42" s="22" t="inlineStr">
        <is>
          <t>UND</t>
        </is>
      </c>
      <c r="D42" s="23" t="n">
        <v>0</v>
      </c>
      <c r="E42" s="24" t="n">
        <v>99.29000000000001</v>
      </c>
      <c r="F42" s="24" t="n">
        <v>0</v>
      </c>
      <c r="G42" s="25" t="n">
        <v>1</v>
      </c>
    </row>
    <row r="43" ht="15" customHeight="1">
      <c r="A43" s="12" t="inlineStr">
        <is>
          <t>395000</t>
        </is>
      </c>
      <c r="B43" s="13" t="inlineStr">
        <is>
          <t>Limpeza de ponte</t>
        </is>
      </c>
      <c r="C43" s="14" t="inlineStr">
        <is>
          <t>M</t>
        </is>
      </c>
      <c r="D43" s="17" t="n">
        <v>1873050</v>
      </c>
      <c r="E43" s="16" t="n">
        <v>5.26</v>
      </c>
      <c r="F43" s="16" t="n">
        <v>9852.26</v>
      </c>
      <c r="G43" s="18" t="n">
        <v>0.6082</v>
      </c>
    </row>
    <row r="44" ht="15" customHeight="1">
      <c r="A44" s="20" t="inlineStr">
        <is>
          <t>890000</t>
        </is>
      </c>
      <c r="B44" s="21" t="inlineStr">
        <is>
          <t>Roçada manual</t>
        </is>
      </c>
      <c r="C44" s="22" t="inlineStr">
        <is>
          <t>HA</t>
        </is>
      </c>
      <c r="D44" s="31" t="n">
        <v>0.712</v>
      </c>
      <c r="E44" s="24" t="n">
        <v>2218.48</v>
      </c>
      <c r="F44" s="24" t="n">
        <v>1579.55</v>
      </c>
      <c r="G44" s="25" t="n">
        <v>0</v>
      </c>
    </row>
    <row r="45" ht="20" customHeight="1">
      <c r="A45" s="32" t="inlineStr">
        <is>
          <t>Subtotal:</t>
        </is>
      </c>
      <c r="B45" s="33" t="n"/>
      <c r="C45" s="33" t="n"/>
      <c r="D45" s="33" t="n"/>
      <c r="E45" s="33" t="n"/>
      <c r="F45" s="34" t="n">
        <v>2432841.3</v>
      </c>
      <c r="G45" s="33" t="n"/>
    </row>
    <row r="46" ht="20" customHeight="1">
      <c r="A46" s="11" t="inlineStr">
        <is>
          <t>1.1 — SERV. MANUTENÇÃO — DESC. P/REEQUILÍBRIO</t>
        </is>
      </c>
      <c r="B46" s="4" t="n"/>
      <c r="C46" s="4" t="n"/>
      <c r="D46" s="4" t="n"/>
      <c r="E46" s="4" t="n"/>
      <c r="F46" s="4" t="n"/>
      <c r="G46" s="4" t="n"/>
    </row>
    <row r="47" ht="15" customHeight="1">
      <c r="A47" s="12" t="inlineStr">
        <is>
          <t>11983</t>
        </is>
      </c>
      <c r="B47" s="13" t="inlineStr">
        <is>
          <t>Contenção areia-cimento ensacada</t>
        </is>
      </c>
      <c r="C47" s="14" t="inlineStr">
        <is>
          <t>M³</t>
        </is>
      </c>
      <c r="D47" s="17" t="n">
        <v>20000</v>
      </c>
      <c r="E47" s="16" t="n">
        <v>436.85</v>
      </c>
      <c r="F47" s="16" t="n">
        <v>8737</v>
      </c>
      <c r="G47" s="18" t="n">
        <v>0</v>
      </c>
    </row>
    <row r="48" ht="15" customHeight="1">
      <c r="A48" s="20" t="inlineStr">
        <is>
          <t>49946</t>
        </is>
      </c>
      <c r="B48" s="21" t="inlineStr">
        <is>
          <t>Pedra argamassada cimento areia 1:3</t>
        </is>
      </c>
      <c r="C48" s="22" t="inlineStr">
        <is>
          <t>M³</t>
        </is>
      </c>
      <c r="D48" s="23" t="n">
        <v>150000</v>
      </c>
      <c r="E48" s="24" t="n">
        <v>365.53</v>
      </c>
      <c r="F48" s="24" t="n">
        <v>54829.5</v>
      </c>
      <c r="G48" s="25" t="n">
        <v>0.4444</v>
      </c>
    </row>
    <row r="49" ht="15" customHeight="1">
      <c r="A49" s="12" t="inlineStr">
        <is>
          <t>50281</t>
        </is>
      </c>
      <c r="B49" s="13" t="inlineStr">
        <is>
          <t>Recomp. erosão corte ou aterro</t>
        </is>
      </c>
      <c r="C49" s="14" t="inlineStr">
        <is>
          <t>M³</t>
        </is>
      </c>
      <c r="D49" s="17" t="n">
        <v>75000</v>
      </c>
      <c r="E49" s="16" t="n">
        <v>21.61</v>
      </c>
      <c r="F49" s="16" t="n">
        <v>1620.75</v>
      </c>
      <c r="G49" s="18" t="n">
        <v>0</v>
      </c>
    </row>
    <row r="50" ht="15" customHeight="1">
      <c r="A50" s="20" t="inlineStr">
        <is>
          <t>51114</t>
        </is>
      </c>
      <c r="B50" s="21" t="inlineStr">
        <is>
          <t>Pintura manual nata de cimento 3 demãos</t>
        </is>
      </c>
      <c r="C50" s="22" t="inlineStr">
        <is>
          <t>M²</t>
        </is>
      </c>
      <c r="D50" s="23" t="n">
        <v>55661688</v>
      </c>
      <c r="E50" s="24" t="n">
        <v>5.24</v>
      </c>
      <c r="F50" s="24" t="n">
        <v>291667.26</v>
      </c>
      <c r="G50" s="25" t="n">
        <v>0.6911</v>
      </c>
    </row>
    <row r="51" ht="15" customHeight="1">
      <c r="A51" s="12" t="inlineStr">
        <is>
          <t>92942</t>
        </is>
      </c>
      <c r="B51" s="13" t="inlineStr">
        <is>
          <t>Plataforma trabalho aço tubular até 4 m</t>
        </is>
      </c>
      <c r="C51" s="14" t="inlineStr">
        <is>
          <t>M³</t>
        </is>
      </c>
      <c r="D51" s="17" t="n">
        <v>1206000</v>
      </c>
      <c r="E51" s="16" t="n">
        <v>37.83</v>
      </c>
      <c r="F51" s="16" t="n">
        <v>45622.98</v>
      </c>
      <c r="G51" s="18" t="n">
        <v>0</v>
      </c>
    </row>
    <row r="52" ht="15" customHeight="1">
      <c r="A52" s="20" t="inlineStr">
        <is>
          <t>92944</t>
        </is>
      </c>
      <c r="B52" s="21" t="inlineStr">
        <is>
          <t>Recomp. dreno tubo aço galv. D=80mm</t>
        </is>
      </c>
      <c r="C52" s="22" t="inlineStr">
        <is>
          <t>UN</t>
        </is>
      </c>
      <c r="D52" s="23" t="n">
        <v>2560000</v>
      </c>
      <c r="E52" s="24" t="n">
        <v>84.64</v>
      </c>
      <c r="F52" s="24" t="n">
        <v>216678.4</v>
      </c>
      <c r="G52" s="25" t="n">
        <v>0.0123</v>
      </c>
    </row>
    <row r="53" ht="15" customHeight="1">
      <c r="A53" s="12" t="inlineStr">
        <is>
          <t>97472</t>
        </is>
      </c>
      <c r="B53" s="13" t="inlineStr">
        <is>
          <t>Concreto FCK=30 MPa</t>
        </is>
      </c>
      <c r="C53" s="14" t="inlineStr">
        <is>
          <t>M³</t>
        </is>
      </c>
      <c r="D53" s="17" t="n">
        <v>68920</v>
      </c>
      <c r="E53" s="16" t="n">
        <v>428.67</v>
      </c>
      <c r="F53" s="16" t="n">
        <v>29543.94</v>
      </c>
      <c r="G53" s="18" t="n">
        <v>0.0476</v>
      </c>
    </row>
    <row r="54" ht="15" customHeight="1">
      <c r="A54" s="20" t="inlineStr">
        <is>
          <t>97479</t>
        </is>
      </c>
      <c r="B54" s="21" t="inlineStr">
        <is>
          <t>Pintura anticorrosiva epóxi poliamida</t>
        </is>
      </c>
      <c r="C54" s="22" t="inlineStr">
        <is>
          <t>M²</t>
        </is>
      </c>
      <c r="D54" s="23" t="n">
        <v>222850</v>
      </c>
      <c r="E54" s="24" t="n">
        <v>12.89</v>
      </c>
      <c r="F54" s="24" t="n">
        <v>2872.53</v>
      </c>
      <c r="G54" s="25" t="n">
        <v>0.3305</v>
      </c>
    </row>
    <row r="55" ht="15" customHeight="1">
      <c r="A55" s="12" t="inlineStr">
        <is>
          <t>97480</t>
        </is>
      </c>
      <c r="B55" s="13" t="inlineStr">
        <is>
          <t>Fôrmas compensado plastificado 10mm</t>
        </is>
      </c>
      <c r="C55" s="14" t="inlineStr">
        <is>
          <t>M²</t>
        </is>
      </c>
      <c r="D55" s="17" t="n">
        <v>435960</v>
      </c>
      <c r="E55" s="16" t="n">
        <v>84.34</v>
      </c>
      <c r="F55" s="16" t="n">
        <v>36768.87</v>
      </c>
      <c r="G55" s="18" t="n">
        <v>0.1014</v>
      </c>
    </row>
    <row r="56" ht="15" customHeight="1">
      <c r="A56" s="20" t="inlineStr">
        <is>
          <t>97482</t>
        </is>
      </c>
      <c r="B56" s="21" t="inlineStr">
        <is>
          <t>Limpeza superf. concreto jateamento</t>
        </is>
      </c>
      <c r="C56" s="22" t="inlineStr">
        <is>
          <t>M²</t>
        </is>
      </c>
      <c r="D56" s="23" t="n">
        <v>65356791</v>
      </c>
      <c r="E56" s="24" t="n">
        <v>1.49</v>
      </c>
      <c r="F56" s="24" t="n">
        <v>97381.64999999999</v>
      </c>
      <c r="G56" s="25" t="n">
        <v>0.6364</v>
      </c>
    </row>
    <row r="57" ht="15" customHeight="1">
      <c r="A57" s="12" t="inlineStr">
        <is>
          <t>97799</t>
        </is>
      </c>
      <c r="B57" s="13" t="inlineStr">
        <is>
          <t>Plataforma trabalho aço tubular 4-6 m</t>
        </is>
      </c>
      <c r="C57" s="14" t="inlineStr">
        <is>
          <t>M³</t>
        </is>
      </c>
      <c r="D57" s="17" t="n">
        <v>11875214</v>
      </c>
      <c r="E57" s="16" t="n">
        <v>19.66</v>
      </c>
      <c r="F57" s="16" t="n">
        <v>233466.73</v>
      </c>
      <c r="G57" s="18" t="n">
        <v>0.782</v>
      </c>
    </row>
    <row r="58" ht="15" customHeight="1">
      <c r="A58" s="20" t="inlineStr">
        <is>
          <t>99279</t>
        </is>
      </c>
      <c r="B58" s="21" t="inlineStr">
        <is>
          <t>Pingadeira elastômero 40x40mm</t>
        </is>
      </c>
      <c r="C58" s="22" t="inlineStr">
        <is>
          <t>M</t>
        </is>
      </c>
      <c r="D58" s="23" t="n">
        <v>2699100</v>
      </c>
      <c r="E58" s="24" t="n">
        <v>187.82</v>
      </c>
      <c r="F58" s="24" t="n">
        <v>506944.97</v>
      </c>
      <c r="G58" s="25" t="n">
        <v>0.6783</v>
      </c>
    </row>
    <row r="59" ht="15" customHeight="1">
      <c r="A59" s="12" t="inlineStr">
        <is>
          <t>99280</t>
        </is>
      </c>
      <c r="B59" s="13" t="inlineStr">
        <is>
          <t>Plataforma suspensa tabuleiro pontes</t>
        </is>
      </c>
      <c r="C59" s="14" t="inlineStr">
        <is>
          <t>M²</t>
        </is>
      </c>
      <c r="D59" s="17" t="n">
        <v>4758520</v>
      </c>
      <c r="E59" s="16" t="n">
        <v>67.98999999999999</v>
      </c>
      <c r="F59" s="16" t="n">
        <v>323531.79</v>
      </c>
      <c r="G59" s="18" t="n">
        <v>0.7663</v>
      </c>
    </row>
    <row r="60" ht="15" customHeight="1">
      <c r="A60" s="20" t="inlineStr">
        <is>
          <t>99281</t>
        </is>
      </c>
      <c r="B60" s="21" t="inlineStr">
        <is>
          <t>Recomp. dreno tubo aço galv. D=100mm</t>
        </is>
      </c>
      <c r="C60" s="22" t="inlineStr">
        <is>
          <t>UND</t>
        </is>
      </c>
      <c r="D60" s="23" t="n">
        <v>82000</v>
      </c>
      <c r="E60" s="24" t="n">
        <v>98.61</v>
      </c>
      <c r="F60" s="24" t="n">
        <v>8086.02</v>
      </c>
      <c r="G60" s="25" t="n">
        <v>0.6435</v>
      </c>
    </row>
    <row r="61" ht="20" customHeight="1">
      <c r="A61" s="32" t="inlineStr">
        <is>
          <t>Subtotal:</t>
        </is>
      </c>
      <c r="B61" s="33" t="n"/>
      <c r="C61" s="33" t="n"/>
      <c r="D61" s="33" t="n"/>
      <c r="E61" s="33" t="n"/>
      <c r="F61" s="34" t="n">
        <v>1857752.39</v>
      </c>
      <c r="G61" s="33" t="n"/>
    </row>
    <row r="62" ht="20" customHeight="1">
      <c r="A62" s="11" t="inlineStr">
        <is>
          <t>2.0 — SERVIÇOS PRELIMINARES</t>
        </is>
      </c>
      <c r="B62" s="4" t="n"/>
      <c r="C62" s="4" t="n"/>
      <c r="D62" s="4" t="n"/>
      <c r="E62" s="4" t="n"/>
      <c r="F62" s="4" t="n"/>
      <c r="G62" s="4" t="n"/>
    </row>
    <row r="63" ht="15" customHeight="1">
      <c r="A63" s="12" t="inlineStr">
        <is>
          <t>52231</t>
        </is>
      </c>
      <c r="B63" s="13" t="inlineStr">
        <is>
          <t>Custo de instalação de canteiro</t>
        </is>
      </c>
      <c r="C63" s="14" t="inlineStr">
        <is>
          <t>UN</t>
        </is>
      </c>
      <c r="D63" s="15" t="n">
        <v>0.379</v>
      </c>
      <c r="E63" s="16" t="n">
        <v>57077</v>
      </c>
      <c r="F63" s="16" t="n">
        <v>21632.26</v>
      </c>
      <c r="G63" s="18" t="n">
        <v>0.621</v>
      </c>
    </row>
    <row r="64" ht="15" customHeight="1">
      <c r="A64" s="20" t="inlineStr">
        <is>
          <t>86617</t>
        </is>
      </c>
      <c r="B64" s="21" t="inlineStr">
        <is>
          <t>Mobilização e desmobilização</t>
        </is>
      </c>
      <c r="C64" s="22" t="inlineStr">
        <is>
          <t>UN</t>
        </is>
      </c>
      <c r="D64" s="31" t="n">
        <v>0.379</v>
      </c>
      <c r="E64" s="24" t="n">
        <v>23419.51</v>
      </c>
      <c r="F64" s="24" t="n">
        <v>8876.08</v>
      </c>
      <c r="G64" s="25" t="n">
        <v>0.621</v>
      </c>
    </row>
    <row r="65" ht="15" customHeight="1">
      <c r="A65" s="12" t="inlineStr">
        <is>
          <t>90197</t>
        </is>
      </c>
      <c r="B65" s="13" t="inlineStr">
        <is>
          <t>Administração local + manutenção canteiro</t>
        </is>
      </c>
      <c r="C65" s="14" t="inlineStr">
        <is>
          <t>UND</t>
        </is>
      </c>
      <c r="D65" s="15" t="n">
        <v>0.379</v>
      </c>
      <c r="E65" s="16" t="n">
        <v>1480303</v>
      </c>
      <c r="F65" s="16" t="n">
        <v>561034.9</v>
      </c>
      <c r="G65" s="18" t="n">
        <v>0.621</v>
      </c>
    </row>
    <row r="66" ht="20" customHeight="1">
      <c r="A66" s="32" t="inlineStr">
        <is>
          <t>Subtotal:</t>
        </is>
      </c>
      <c r="B66" s="33" t="n"/>
      <c r="C66" s="33" t="n"/>
      <c r="D66" s="33" t="n"/>
      <c r="E66" s="33" t="n"/>
      <c r="F66" s="34" t="n">
        <v>591543.24</v>
      </c>
      <c r="G66" s="33" t="n"/>
    </row>
    <row r="67" ht="20" customHeight="1">
      <c r="A67" s="11" t="inlineStr">
        <is>
          <t>3.0 — ESTORNO</t>
        </is>
      </c>
      <c r="B67" s="4" t="n"/>
      <c r="C67" s="4" t="n"/>
      <c r="D67" s="4" t="n"/>
      <c r="E67" s="4" t="n"/>
      <c r="F67" s="4" t="n"/>
      <c r="G67" s="4" t="n"/>
    </row>
    <row r="68" ht="15" customHeight="1">
      <c r="A68" s="12" t="inlineStr">
        <is>
          <t>999986</t>
        </is>
      </c>
      <c r="B68" s="13" t="inlineStr">
        <is>
          <t>EST ISS REF AC 32/08-TCU-P</t>
        </is>
      </c>
      <c r="C68" s="14" t="inlineStr">
        <is>
          <t>R$</t>
        </is>
      </c>
      <c r="D68" s="17" t="n">
        <v>0</v>
      </c>
      <c r="E68" s="16" t="n">
        <v>1</v>
      </c>
      <c r="F68" s="16" t="n">
        <v>0</v>
      </c>
      <c r="G68" s="18" t="n">
        <v>1</v>
      </c>
    </row>
    <row r="69" ht="20" customHeight="1">
      <c r="A69" s="32" t="inlineStr">
        <is>
          <t>Subtotal:</t>
        </is>
      </c>
      <c r="B69" s="33" t="n"/>
      <c r="C69" s="33" t="n"/>
      <c r="D69" s="33" t="n"/>
      <c r="E69" s="33" t="n"/>
      <c r="F69" s="34" t="n">
        <v>0</v>
      </c>
      <c r="G69" s="33" t="n"/>
    </row>
    <row r="70" ht="20" customHeight="1">
      <c r="A70" s="11" t="inlineStr">
        <is>
          <t>4.0 — SINALIZAÇÃO DE OBRAS</t>
        </is>
      </c>
      <c r="B70" s="4" t="n"/>
      <c r="C70" s="4" t="n"/>
      <c r="D70" s="4" t="n"/>
      <c r="E70" s="4" t="n"/>
      <c r="F70" s="4" t="n"/>
      <c r="G70" s="4" t="n"/>
    </row>
    <row r="71" ht="15" customHeight="1">
      <c r="A71" s="12" t="inlineStr">
        <is>
          <t>49321</t>
        </is>
      </c>
      <c r="B71" s="13" t="inlineStr">
        <is>
          <t>Operação sinalização bandeirola</t>
        </is>
      </c>
      <c r="C71" s="14" t="inlineStr">
        <is>
          <t>H</t>
        </is>
      </c>
      <c r="D71" s="17" t="n">
        <v>1248000</v>
      </c>
      <c r="E71" s="16" t="n">
        <v>20.75</v>
      </c>
      <c r="F71" s="16" t="n">
        <v>25896</v>
      </c>
      <c r="G71" s="18" t="n">
        <v>0</v>
      </c>
    </row>
    <row r="72" ht="15" customHeight="1">
      <c r="A72" s="20" t="inlineStr">
        <is>
          <t>91397</t>
        </is>
      </c>
      <c r="B72" s="21" t="inlineStr">
        <is>
          <t>Placa regulament. sinaliz. suporte met.</t>
        </is>
      </c>
      <c r="C72" s="22" t="inlineStr">
        <is>
          <t>UN/DIA</t>
        </is>
      </c>
      <c r="D72" s="23" t="n">
        <v>208000</v>
      </c>
      <c r="E72" s="24" t="n">
        <v>1.14</v>
      </c>
      <c r="F72" s="24" t="n">
        <v>237.12</v>
      </c>
      <c r="G72" s="25" t="n">
        <v>0</v>
      </c>
    </row>
    <row r="73" ht="15" customHeight="1">
      <c r="A73" s="12" t="inlineStr">
        <is>
          <t>91574</t>
        </is>
      </c>
      <c r="B73" s="13" t="inlineStr">
        <is>
          <t>Luz advertência bateria dispositivos sinaliz.</t>
        </is>
      </c>
      <c r="C73" s="14" t="inlineStr">
        <is>
          <t>UN/DIA</t>
        </is>
      </c>
      <c r="D73" s="17" t="n">
        <v>573000</v>
      </c>
      <c r="E73" s="16" t="n">
        <v>1.13</v>
      </c>
      <c r="F73" s="16" t="n">
        <v>647.49</v>
      </c>
      <c r="G73" s="18" t="n">
        <v>0</v>
      </c>
    </row>
    <row r="74" ht="15" customHeight="1">
      <c r="A74" s="20" t="inlineStr">
        <is>
          <t>92597</t>
        </is>
      </c>
      <c r="B74" s="21" t="inlineStr">
        <is>
          <t>Placa regulament. sinaliz. suporte met. D=1m</t>
        </is>
      </c>
      <c r="C74" s="22" t="inlineStr">
        <is>
          <t>UN/DIA</t>
        </is>
      </c>
      <c r="D74" s="23" t="n">
        <v>732000</v>
      </c>
      <c r="E74" s="24" t="n">
        <v>1.11</v>
      </c>
      <c r="F74" s="24" t="n">
        <v>812.52</v>
      </c>
      <c r="G74" s="25" t="n">
        <v>0</v>
      </c>
    </row>
    <row r="75" ht="15" customHeight="1">
      <c r="A75" s="12" t="inlineStr">
        <is>
          <t>97567</t>
        </is>
      </c>
      <c r="B75" s="13" t="inlineStr">
        <is>
          <t>Placa sinaliz. cavalete metálico 1x1m</t>
        </is>
      </c>
      <c r="C75" s="14" t="inlineStr">
        <is>
          <t>UN/DIA</t>
        </is>
      </c>
      <c r="D75" s="17" t="n">
        <v>106000</v>
      </c>
      <c r="E75" s="16" t="n">
        <v>1.06</v>
      </c>
      <c r="F75" s="16" t="n">
        <v>112.36</v>
      </c>
      <c r="G75" s="18" t="n">
        <v>0</v>
      </c>
    </row>
    <row r="76" ht="15" customHeight="1">
      <c r="A76" s="20" t="inlineStr">
        <is>
          <t>99415</t>
        </is>
      </c>
      <c r="B76" s="21" t="inlineStr">
        <is>
          <t>Cone plástico canalização trânsito</t>
        </is>
      </c>
      <c r="C76" s="22" t="inlineStr">
        <is>
          <t>UN/DIA</t>
        </is>
      </c>
      <c r="D76" s="23" t="n">
        <v>515000</v>
      </c>
      <c r="E76" s="24" t="n">
        <v>0.6899999999999999</v>
      </c>
      <c r="F76" s="24" t="n">
        <v>355.35</v>
      </c>
      <c r="G76" s="25" t="n">
        <v>0</v>
      </c>
    </row>
    <row r="77" ht="15" customHeight="1">
      <c r="A77" s="12" t="inlineStr">
        <is>
          <t>804485</t>
        </is>
      </c>
      <c r="B77" s="13" t="inlineStr">
        <is>
          <t>Cilindro canalizador tráfego</t>
        </is>
      </c>
      <c r="C77" s="14" t="inlineStr">
        <is>
          <t>UN/DIA</t>
        </is>
      </c>
      <c r="D77" s="17" t="n">
        <v>58000</v>
      </c>
      <c r="E77" s="16" t="n">
        <v>2.78</v>
      </c>
      <c r="F77" s="16" t="n">
        <v>161.24</v>
      </c>
      <c r="G77" s="18" t="n">
        <v>0</v>
      </c>
    </row>
    <row r="78" ht="15" customHeight="1">
      <c r="A78" s="20" t="inlineStr">
        <is>
          <t>7200844</t>
        </is>
      </c>
      <c r="B78" s="21" t="inlineStr">
        <is>
          <t>Placa advertência sinaliz. suporte met.</t>
        </is>
      </c>
      <c r="C78" s="22" t="inlineStr">
        <is>
          <t>UN/DIA</t>
        </is>
      </c>
      <c r="D78" s="23" t="n">
        <v>946000</v>
      </c>
      <c r="E78" s="24" t="n">
        <v>1.26</v>
      </c>
      <c r="F78" s="24" t="n">
        <v>1191.96</v>
      </c>
      <c r="G78" s="25" t="n">
        <v>0</v>
      </c>
    </row>
    <row r="79" ht="15" customHeight="1">
      <c r="A79" s="12" t="inlineStr">
        <is>
          <t>8301051</t>
        </is>
      </c>
      <c r="B79" s="13" t="inlineStr">
        <is>
          <t>Cavalete polietileno zebrado faixa refletiva</t>
        </is>
      </c>
      <c r="C79" s="14" t="inlineStr">
        <is>
          <t>UN/DIA</t>
        </is>
      </c>
      <c r="D79" s="17" t="n">
        <v>418000</v>
      </c>
      <c r="E79" s="16" t="n">
        <v>0.65</v>
      </c>
      <c r="F79" s="16" t="n">
        <v>271.7</v>
      </c>
      <c r="G79" s="18" t="n">
        <v>0</v>
      </c>
    </row>
    <row r="80" ht="20" customHeight="1">
      <c r="A80" s="32" t="inlineStr">
        <is>
          <t>Subtotal:</t>
        </is>
      </c>
      <c r="B80" s="33" t="n"/>
      <c r="C80" s="33" t="n"/>
      <c r="D80" s="33" t="n"/>
      <c r="E80" s="33" t="n"/>
      <c r="F80" s="34" t="n">
        <v>29685.74</v>
      </c>
      <c r="G80" s="33" t="n"/>
    </row>
    <row r="81" ht="20" customHeight="1">
      <c r="A81" s="11" t="inlineStr">
        <is>
          <t>5.0 — INSTALAÇÕES PONTE DE IGAPÓ</t>
        </is>
      </c>
      <c r="B81" s="4" t="n"/>
      <c r="C81" s="4" t="n"/>
      <c r="D81" s="4" t="n"/>
      <c r="E81" s="4" t="n"/>
      <c r="F81" s="4" t="n"/>
      <c r="G81" s="4" t="n"/>
    </row>
    <row r="82" ht="15" customHeight="1">
      <c r="A82" s="12" t="inlineStr">
        <is>
          <t>83120</t>
        </is>
      </c>
      <c r="B82" s="13" t="inlineStr">
        <is>
          <t>Relé fotoelétrico iluminação 1000W</t>
        </is>
      </c>
      <c r="C82" s="14" t="inlineStr">
        <is>
          <t>UND</t>
        </is>
      </c>
      <c r="D82" s="17" t="n">
        <v>2000</v>
      </c>
      <c r="E82" s="16" t="n">
        <v>22.49</v>
      </c>
      <c r="F82" s="16" t="n">
        <v>44.98</v>
      </c>
      <c r="G82" s="18" t="n">
        <v>0.95</v>
      </c>
    </row>
    <row r="83" ht="15" customHeight="1">
      <c r="A83" s="20" t="inlineStr">
        <is>
          <t>97472</t>
        </is>
      </c>
      <c r="B83" s="21" t="inlineStr">
        <is>
          <t>Concreto FCK=30 MPa</t>
        </is>
      </c>
      <c r="C83" s="22" t="inlineStr">
        <is>
          <t>M³</t>
        </is>
      </c>
      <c r="D83" s="23" t="n">
        <v>3540</v>
      </c>
      <c r="E83" s="24" t="n">
        <v>428.67</v>
      </c>
      <c r="F83" s="24" t="n">
        <v>1517.5</v>
      </c>
      <c r="G83" s="25" t="n">
        <v>0.6459999999999999</v>
      </c>
    </row>
    <row r="84" ht="15" customHeight="1">
      <c r="A84" s="12" t="inlineStr">
        <is>
          <t>97478</t>
        </is>
      </c>
      <c r="B84" s="13" t="inlineStr">
        <is>
          <t>Fornec. aplicação adesivo epóxi</t>
        </is>
      </c>
      <c r="C84" s="14" t="inlineStr">
        <is>
          <t>KG</t>
        </is>
      </c>
      <c r="D84" s="17" t="n">
        <v>2000</v>
      </c>
      <c r="E84" s="16" t="n">
        <v>76.04000000000001</v>
      </c>
      <c r="F84" s="16" t="n">
        <v>152.08</v>
      </c>
      <c r="G84" s="18" t="n">
        <v>0.95</v>
      </c>
    </row>
    <row r="85" ht="15" customHeight="1">
      <c r="A85" s="20" t="inlineStr">
        <is>
          <t>97489</t>
        </is>
      </c>
      <c r="B85" s="21" t="inlineStr">
        <is>
          <t>Demolição controlada concreto martelete</t>
        </is>
      </c>
      <c r="C85" s="22" t="inlineStr">
        <is>
          <t>M³</t>
        </is>
      </c>
      <c r="D85" s="23" t="n">
        <v>20136</v>
      </c>
      <c r="E85" s="24" t="n">
        <v>366.86</v>
      </c>
      <c r="F85" s="24" t="n">
        <v>7387.1</v>
      </c>
      <c r="G85" s="25" t="n">
        <v>0.5424</v>
      </c>
    </row>
    <row r="86" ht="15" customHeight="1">
      <c r="A86" s="12" t="inlineStr">
        <is>
          <t>97804</t>
        </is>
      </c>
      <c r="B86" s="13" t="inlineStr">
        <is>
          <t>Armação aço CA/50</t>
        </is>
      </c>
      <c r="C86" s="14" t="inlineStr">
        <is>
          <t>KG</t>
        </is>
      </c>
      <c r="D86" s="17" t="n">
        <v>23693</v>
      </c>
      <c r="E86" s="16" t="n">
        <v>13.66</v>
      </c>
      <c r="F86" s="16" t="n">
        <v>323.65</v>
      </c>
      <c r="G86" s="18" t="n">
        <v>0.8769</v>
      </c>
    </row>
    <row r="87" ht="15" customHeight="1">
      <c r="A87" s="20" t="inlineStr">
        <is>
          <t>99278</t>
        </is>
      </c>
      <c r="B87" s="21" t="inlineStr">
        <is>
          <t>Fôrma metálica curva chapa 3/16"</t>
        </is>
      </c>
      <c r="C87" s="22" t="inlineStr">
        <is>
          <t>M²</t>
        </is>
      </c>
      <c r="D87" s="23" t="n">
        <v>8900</v>
      </c>
      <c r="E87" s="24" t="n">
        <v>21.47</v>
      </c>
      <c r="F87" s="24" t="n">
        <v>191.09</v>
      </c>
      <c r="G87" s="25" t="n">
        <v>0.8609</v>
      </c>
    </row>
    <row r="88" ht="15" customHeight="1">
      <c r="A88" s="12" t="inlineStr">
        <is>
          <t>952420</t>
        </is>
      </c>
      <c r="B88" s="13" t="inlineStr">
        <is>
          <t>Luminária LED iluminação pública 138-180W</t>
        </is>
      </c>
      <c r="C88" s="14" t="inlineStr">
        <is>
          <t>UN</t>
        </is>
      </c>
      <c r="D88" s="17" t="n">
        <v>2000</v>
      </c>
      <c r="E88" s="16" t="n">
        <v>947.67</v>
      </c>
      <c r="F88" s="16" t="n">
        <v>1895.34</v>
      </c>
      <c r="G88" s="18" t="n">
        <v>0.95</v>
      </c>
    </row>
    <row r="89" ht="15" customHeight="1">
      <c r="A89" s="20" t="inlineStr">
        <is>
          <t>4805750</t>
        </is>
      </c>
      <c r="B89" s="21" t="inlineStr">
        <is>
          <t>Escavação manual 1ª cat. até 1m</t>
        </is>
      </c>
      <c r="C89" s="22" t="inlineStr">
        <is>
          <t>M³</t>
        </is>
      </c>
      <c r="D89" s="23" t="n">
        <v>2250</v>
      </c>
      <c r="E89" s="24" t="n">
        <v>53.23</v>
      </c>
      <c r="F89" s="24" t="n">
        <v>119.77</v>
      </c>
      <c r="G89" s="25" t="n">
        <v>0.95</v>
      </c>
    </row>
    <row r="90" ht="15" customHeight="1">
      <c r="A90" s="12" t="inlineStr">
        <is>
          <t>8301768</t>
        </is>
      </c>
      <c r="B90" s="13" t="inlineStr">
        <is>
          <t>Perfuração concreto martelete elétrico D=13mm</t>
        </is>
      </c>
      <c r="C90" s="14" t="inlineStr">
        <is>
          <t>M</t>
        </is>
      </c>
      <c r="D90" s="17" t="n">
        <v>3200</v>
      </c>
      <c r="E90" s="16" t="n">
        <v>22.81</v>
      </c>
      <c r="F90" s="16" t="n">
        <v>73</v>
      </c>
      <c r="G90" s="18" t="n">
        <v>0.95</v>
      </c>
    </row>
    <row r="91" ht="15" customHeight="1">
      <c r="A91" s="20" t="inlineStr">
        <is>
          <t>8302029</t>
        </is>
      </c>
      <c r="B91" s="21" t="inlineStr">
        <is>
          <t>Braço iluminação pública aço galv. 1,50m</t>
        </is>
      </c>
      <c r="C91" s="22" t="inlineStr">
        <is>
          <t>UND</t>
        </is>
      </c>
      <c r="D91" s="23" t="n">
        <v>2000</v>
      </c>
      <c r="E91" s="24" t="n">
        <v>140.97</v>
      </c>
      <c r="F91" s="24" t="n">
        <v>281.94</v>
      </c>
      <c r="G91" s="25" t="n">
        <v>0.95</v>
      </c>
    </row>
    <row r="92" ht="15" customHeight="1">
      <c r="A92" s="12" t="inlineStr">
        <is>
          <t>8302035</t>
        </is>
      </c>
      <c r="B92" s="13" t="inlineStr">
        <is>
          <t>Assent. poste concreto 11m 1000 DaN</t>
        </is>
      </c>
      <c r="C92" s="14" t="inlineStr">
        <is>
          <t>UND</t>
        </is>
      </c>
      <c r="D92" s="17" t="n">
        <v>1000</v>
      </c>
      <c r="E92" s="16" t="n">
        <v>2918.61</v>
      </c>
      <c r="F92" s="16" t="n">
        <v>2918.61</v>
      </c>
      <c r="G92" s="18" t="n">
        <v>0.95</v>
      </c>
    </row>
    <row r="93" ht="15" customHeight="1">
      <c r="A93" s="20" t="inlineStr">
        <is>
          <t>8302035</t>
        </is>
      </c>
      <c r="B93" s="21" t="inlineStr">
        <is>
          <t>Cabo cobre flexível 25mm²</t>
        </is>
      </c>
      <c r="C93" s="22" t="inlineStr">
        <is>
          <t>UND</t>
        </is>
      </c>
      <c r="D93" s="23" t="n">
        <v>60000</v>
      </c>
      <c r="E93" s="24" t="n">
        <v>4.47</v>
      </c>
      <c r="F93" s="24" t="n">
        <v>268.2</v>
      </c>
      <c r="G93" s="25" t="n">
        <v>0.973</v>
      </c>
    </row>
    <row r="94" ht="15" customHeight="1">
      <c r="A94" s="12" t="inlineStr">
        <is>
          <t>8302035</t>
        </is>
      </c>
      <c r="B94" s="13" t="inlineStr">
        <is>
          <t>Guindauto hidráulico 6200 kg CHP</t>
        </is>
      </c>
      <c r="C94" s="14" t="inlineStr">
        <is>
          <t>CHP</t>
        </is>
      </c>
      <c r="D94" s="17" t="n">
        <v>0</v>
      </c>
      <c r="E94" s="16" t="n">
        <v>288.32</v>
      </c>
      <c r="F94" s="16" t="n">
        <v>0</v>
      </c>
      <c r="G94" s="18" t="n">
        <v>1</v>
      </c>
    </row>
    <row r="95" ht="15" customHeight="1">
      <c r="A95" s="20" t="inlineStr">
        <is>
          <t>8302035</t>
        </is>
      </c>
      <c r="B95" s="21" t="inlineStr">
        <is>
          <t>Haste aterramento 5/8" 3m</t>
        </is>
      </c>
      <c r="C95" s="22" t="inlineStr">
        <is>
          <t>UND</t>
        </is>
      </c>
      <c r="D95" s="23" t="n">
        <v>1000</v>
      </c>
      <c r="E95" s="24" t="n">
        <v>80.47</v>
      </c>
      <c r="F95" s="24" t="n">
        <v>80.47</v>
      </c>
      <c r="G95" s="25" t="n">
        <v>0.95</v>
      </c>
    </row>
    <row r="96" ht="15" customHeight="1">
      <c r="A96" s="12" t="inlineStr">
        <is>
          <t>8302036</t>
        </is>
      </c>
      <c r="B96" s="13" t="inlineStr">
        <is>
          <t>Entrada energia elétrica aérea monofásica</t>
        </is>
      </c>
      <c r="C96" s="14" t="inlineStr">
        <is>
          <t>UND</t>
        </is>
      </c>
      <c r="D96" s="17" t="n">
        <v>0</v>
      </c>
      <c r="E96" s="16" t="n">
        <v>1604.84</v>
      </c>
      <c r="F96" s="16" t="n">
        <v>0</v>
      </c>
      <c r="G96" s="18" t="n">
        <v>1</v>
      </c>
    </row>
    <row r="97" ht="15" customHeight="1">
      <c r="A97" s="20" t="inlineStr">
        <is>
          <t>8302036</t>
        </is>
      </c>
      <c r="B97" s="21" t="inlineStr">
        <is>
          <t>Remoção cabos elétricos s/ reaproveitamento</t>
        </is>
      </c>
      <c r="C97" s="22" t="inlineStr">
        <is>
          <t>M</t>
        </is>
      </c>
      <c r="D97" s="23" t="n">
        <v>0</v>
      </c>
      <c r="E97" s="24" t="n">
        <v>0.65</v>
      </c>
      <c r="F97" s="24" t="n">
        <v>0</v>
      </c>
      <c r="G97" s="25" t="n">
        <v>1</v>
      </c>
    </row>
    <row r="98" ht="20" customHeight="1">
      <c r="A98" s="32" t="inlineStr">
        <is>
          <t>Subtotal:</t>
        </is>
      </c>
      <c r="B98" s="33" t="n"/>
      <c r="C98" s="33" t="n"/>
      <c r="D98" s="33" t="n"/>
      <c r="E98" s="33" t="n"/>
      <c r="F98" s="34" t="n">
        <v>15253.73</v>
      </c>
      <c r="G98" s="33" t="n"/>
    </row>
    <row r="99" ht="24" customHeight="1">
      <c r="A99" s="50" t="inlineStr">
        <is>
          <t>TOTAL SALDO A EXECUTAR</t>
        </is>
      </c>
      <c r="B99" s="51" t="n"/>
      <c r="C99" s="51" t="n"/>
      <c r="D99" s="51" t="n"/>
      <c r="E99" s="51" t="n"/>
      <c r="F99" s="52" t="n">
        <v>4927076.4</v>
      </c>
      <c r="G99" s="53" t="n">
        <v>0.5667</v>
      </c>
    </row>
  </sheetData>
  <mergeCells count="15">
    <mergeCell ref="A69:E69"/>
    <mergeCell ref="A1:G1"/>
    <mergeCell ref="A81:G81"/>
    <mergeCell ref="A70:G70"/>
    <mergeCell ref="A67:G67"/>
    <mergeCell ref="A98:E98"/>
    <mergeCell ref="A4:G4"/>
    <mergeCell ref="A62:G62"/>
    <mergeCell ref="A99:E99"/>
    <mergeCell ref="A45:E45"/>
    <mergeCell ref="A2:G2"/>
    <mergeCell ref="A66:E66"/>
    <mergeCell ref="A61:E61"/>
    <mergeCell ref="A80:E80"/>
    <mergeCell ref="A46:G46"/>
  </mergeCells>
  <pageMargins left="0.75" right="0.75" top="1" bottom="1" header="0.5" footer="0.5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7" customWidth="1" min="3" max="3"/>
    <col width="12" customWidth="1" min="4" max="4"/>
    <col width="14" customWidth="1" min="5" max="5"/>
    <col width="14" customWidth="1" min="6" max="6"/>
    <col width="18" customWidth="1" min="7" max="7"/>
  </cols>
  <sheetData>
    <row r="1" ht="30" customHeight="1">
      <c r="A1" s="1" t="inlineStr">
        <is>
          <t>RESUMO DO CONTRATO — PLANILHA DE SERVIÇOS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Contrato 14 00729/2023 — MATERA ENGENHARIA LTDA</t>
        </is>
      </c>
      <c r="B2" s="4" t="n"/>
      <c r="C2" s="4" t="n"/>
      <c r="D2" s="4" t="n"/>
      <c r="E2" s="4" t="n"/>
      <c r="F2" s="4" t="n"/>
      <c r="G2" s="4" t="n"/>
    </row>
    <row r="3" ht="18" customHeight="1">
      <c r="A3" s="54" t="inlineStr">
        <is>
          <t>Fiscalização: S.R.E - RN  |  Gestão Pagamento: CGMRR / DIR  |  Versão dos Serviços: Versão 1</t>
        </is>
      </c>
      <c r="B3" s="6" t="n"/>
      <c r="C3" s="6" t="n"/>
      <c r="D3" s="6" t="n"/>
      <c r="E3" s="6" t="n"/>
      <c r="F3" s="6" t="n"/>
      <c r="G3" s="6" t="n"/>
    </row>
    <row r="4" ht="28" customHeight="1">
      <c r="A4" s="8" t="inlineStr">
        <is>
          <t>Código</t>
        </is>
      </c>
      <c r="B4" s="8" t="inlineStr">
        <is>
          <t>Descrição do Serviço</t>
        </is>
      </c>
      <c r="C4" s="8" t="inlineStr">
        <is>
          <t>Und</t>
        </is>
      </c>
      <c r="D4" s="8" t="inlineStr">
        <is>
          <t>Índice Reajust.</t>
        </is>
      </c>
      <c r="E4" s="8" t="inlineStr">
        <is>
          <t>Qtd Projeto</t>
        </is>
      </c>
      <c r="F4" s="8" t="inlineStr">
        <is>
          <t>Preço Unit. (R$)</t>
        </is>
      </c>
      <c r="G4" s="8" t="inlineStr">
        <is>
          <t>Valor a PI (R$)</t>
        </is>
      </c>
    </row>
    <row r="5" ht="20" customHeight="1">
      <c r="A5" s="11" t="inlineStr">
        <is>
          <t>1 — SERVIÇOS DE MANUTENÇÃO</t>
        </is>
      </c>
      <c r="B5" s="4" t="n"/>
      <c r="C5" s="4" t="n"/>
      <c r="D5" s="4" t="n"/>
      <c r="E5" s="4" t="n"/>
      <c r="F5" s="4" t="n"/>
      <c r="G5" s="4" t="n"/>
    </row>
    <row r="6" ht="15" customHeight="1">
      <c r="A6" s="12" t="inlineStr">
        <is>
          <t>49381</t>
        </is>
      </c>
      <c r="B6" s="13" t="inlineStr">
        <is>
          <t>Roçada com roçadeira costal</t>
        </is>
      </c>
      <c r="C6" s="14" t="inlineStr">
        <is>
          <t>HA</t>
        </is>
      </c>
      <c r="D6" s="55" t="inlineStr">
        <is>
          <t>CONSER</t>
        </is>
      </c>
      <c r="E6" s="15" t="n">
        <v>0.385</v>
      </c>
      <c r="F6" s="16" t="n">
        <v>800.6</v>
      </c>
      <c r="G6" s="16" t="n">
        <v>308.23</v>
      </c>
    </row>
    <row r="7" ht="15" customHeight="1">
      <c r="A7" s="20" t="inlineStr">
        <is>
          <t>49684</t>
        </is>
      </c>
      <c r="B7" s="21" t="inlineStr">
        <is>
          <t>Limpeza em junta de dilatação</t>
        </is>
      </c>
      <c r="C7" s="22" t="inlineStr">
        <is>
          <t>M</t>
        </is>
      </c>
      <c r="D7" s="56" t="inlineStr">
        <is>
          <t>CONSER</t>
        </is>
      </c>
      <c r="E7" s="23" t="n">
        <v>757200</v>
      </c>
      <c r="F7" s="24" t="n">
        <v>3.77</v>
      </c>
      <c r="G7" s="24" t="n">
        <v>2854.64</v>
      </c>
    </row>
    <row r="8" ht="15" customHeight="1">
      <c r="A8" s="12" t="inlineStr">
        <is>
          <t>49686</t>
        </is>
      </c>
      <c r="B8" s="13" t="inlineStr">
        <is>
          <t>Poda de árvores com até 5 m de altura</t>
        </is>
      </c>
      <c r="C8" s="14" t="inlineStr">
        <is>
          <t>M³</t>
        </is>
      </c>
      <c r="D8" s="55" t="inlineStr">
        <is>
          <t>CONSER</t>
        </is>
      </c>
      <c r="E8" s="17" t="n">
        <v>9500</v>
      </c>
      <c r="F8" s="16" t="n">
        <v>229.24</v>
      </c>
      <c r="G8" s="16" t="n">
        <v>2177.78</v>
      </c>
    </row>
    <row r="9" ht="15" customHeight="1">
      <c r="A9" s="20" t="inlineStr">
        <is>
          <t>50281</t>
        </is>
      </c>
      <c r="B9" s="21" t="inlineStr">
        <is>
          <t>Recomp. erosão corte ou aterro</t>
        </is>
      </c>
      <c r="C9" s="22" t="inlineStr">
        <is>
          <t>M³</t>
        </is>
      </c>
      <c r="D9" s="56" t="inlineStr">
        <is>
          <t>CONSER</t>
        </is>
      </c>
      <c r="E9" s="23" t="n">
        <v>387250</v>
      </c>
      <c r="F9" s="24" t="n">
        <v>21.61</v>
      </c>
      <c r="G9" s="24" t="n">
        <v>8368.469999999999</v>
      </c>
    </row>
    <row r="10" ht="15" customHeight="1">
      <c r="A10" s="12" t="inlineStr">
        <is>
          <t>50329</t>
        </is>
      </c>
      <c r="B10" s="13" t="inlineStr">
        <is>
          <t>Remoção manual vegetação daninha frestas</t>
        </is>
      </c>
      <c r="C10" s="14" t="inlineStr">
        <is>
          <t>M</t>
        </is>
      </c>
      <c r="D10" s="55" t="inlineStr">
        <is>
          <t>CONSER</t>
        </is>
      </c>
      <c r="E10" s="17" t="n">
        <v>7285012</v>
      </c>
      <c r="F10" s="16" t="n">
        <v>2.62</v>
      </c>
      <c r="G10" s="16" t="n">
        <v>19086.73</v>
      </c>
    </row>
    <row r="11" ht="15" customHeight="1">
      <c r="A11" s="20" t="inlineStr">
        <is>
          <t>51114</t>
        </is>
      </c>
      <c r="B11" s="21" t="inlineStr">
        <is>
          <t>Pintura manual nata de cimento 3 demãos</t>
        </is>
      </c>
      <c r="C11" s="22" t="inlineStr">
        <is>
          <t>M²</t>
        </is>
      </c>
      <c r="D11" s="56" t="inlineStr">
        <is>
          <t>CONSER</t>
        </is>
      </c>
      <c r="E11" s="23" t="n">
        <v>0</v>
      </c>
      <c r="F11" s="24" t="n">
        <v>5.28</v>
      </c>
      <c r="G11" s="24" t="n">
        <v>0</v>
      </c>
    </row>
    <row r="12" ht="15" customHeight="1">
      <c r="A12" s="12" t="inlineStr">
        <is>
          <t>51909</t>
        </is>
      </c>
      <c r="B12" s="13" t="inlineStr">
        <is>
          <t>Terminal ancoragem defensa metálica</t>
        </is>
      </c>
      <c r="C12" s="14" t="inlineStr">
        <is>
          <t>UND</t>
        </is>
      </c>
      <c r="D12" s="55" t="inlineStr">
        <is>
          <t>OCMA</t>
        </is>
      </c>
      <c r="E12" s="17" t="n">
        <v>3000</v>
      </c>
      <c r="F12" s="16" t="n">
        <v>548.63</v>
      </c>
      <c r="G12" s="16" t="n">
        <v>1645.89</v>
      </c>
    </row>
    <row r="13" ht="15" customHeight="1">
      <c r="A13" s="20" t="inlineStr">
        <is>
          <t>52446</t>
        </is>
      </c>
      <c r="B13" s="21" t="inlineStr">
        <is>
          <t>Limpeza desobstrução dispositivos drenagem</t>
        </is>
      </c>
      <c r="C13" s="22" t="inlineStr">
        <is>
          <t>UND</t>
        </is>
      </c>
      <c r="D13" s="56" t="inlineStr">
        <is>
          <t>CONSER</t>
        </is>
      </c>
      <c r="E13" s="23" t="n">
        <v>1265000</v>
      </c>
      <c r="F13" s="24" t="n">
        <v>5.26</v>
      </c>
      <c r="G13" s="24" t="n">
        <v>6653.9</v>
      </c>
    </row>
    <row r="14" ht="15" customHeight="1">
      <c r="A14" s="12" t="inlineStr">
        <is>
          <t>83154</t>
        </is>
      </c>
      <c r="B14" s="13" t="inlineStr">
        <is>
          <t>Caiação manual com fixador de cal</t>
        </is>
      </c>
      <c r="C14" s="14" t="inlineStr">
        <is>
          <t>M²</t>
        </is>
      </c>
      <c r="D14" s="55" t="inlineStr">
        <is>
          <t>CONSER</t>
        </is>
      </c>
      <c r="E14" s="17" t="n">
        <v>11601009</v>
      </c>
      <c r="F14" s="16" t="n">
        <v>3.26</v>
      </c>
      <c r="G14" s="16" t="n">
        <v>37819.28</v>
      </c>
    </row>
    <row r="15" ht="15" customHeight="1">
      <c r="A15" s="20" t="inlineStr">
        <is>
          <t>86440</t>
        </is>
      </c>
      <c r="B15" s="21" t="inlineStr">
        <is>
          <t>Remoção manual revestimento asfáltico</t>
        </is>
      </c>
      <c r="C15" s="22" t="inlineStr">
        <is>
          <t>M³</t>
        </is>
      </c>
      <c r="D15" s="56" t="inlineStr">
        <is>
          <t>PAVIM</t>
        </is>
      </c>
      <c r="E15" s="23" t="n">
        <v>33137</v>
      </c>
      <c r="F15" s="24" t="n">
        <v>263.42</v>
      </c>
      <c r="G15" s="24" t="n">
        <v>8728.940000000001</v>
      </c>
    </row>
    <row r="16" ht="15" customHeight="1">
      <c r="A16" s="12" t="inlineStr">
        <is>
          <t>86884</t>
        </is>
      </c>
      <c r="B16" s="13" t="inlineStr">
        <is>
          <t>Remoção manual vegetação daninha</t>
        </is>
      </c>
      <c r="C16" s="14" t="inlineStr">
        <is>
          <t>M²</t>
        </is>
      </c>
      <c r="D16" s="55" t="inlineStr">
        <is>
          <t>CONSER</t>
        </is>
      </c>
      <c r="E16" s="17" t="n">
        <v>1440400</v>
      </c>
      <c r="F16" s="16" t="n">
        <v>5.26</v>
      </c>
      <c r="G16" s="16" t="n">
        <v>7576.5</v>
      </c>
    </row>
    <row r="17" ht="15" customHeight="1">
      <c r="A17" s="20" t="inlineStr">
        <is>
          <t>91982</t>
        </is>
      </c>
      <c r="B17" s="21" t="inlineStr">
        <is>
          <t>Recomp. guarda-corpo agregados comerciais</t>
        </is>
      </c>
      <c r="C17" s="22" t="inlineStr">
        <is>
          <t>M</t>
        </is>
      </c>
      <c r="D17" s="56" t="inlineStr">
        <is>
          <t>CONSER</t>
        </is>
      </c>
      <c r="E17" s="23" t="n">
        <v>246000</v>
      </c>
      <c r="F17" s="24" t="n">
        <v>128.93</v>
      </c>
      <c r="G17" s="24" t="n">
        <v>31716.78</v>
      </c>
    </row>
    <row r="18" ht="15" customHeight="1">
      <c r="A18" s="12" t="inlineStr">
        <is>
          <t>92940</t>
        </is>
      </c>
      <c r="B18" s="13" t="inlineStr">
        <is>
          <t>Argamassa reparos grauteamento</t>
        </is>
      </c>
      <c r="C18" s="14" t="inlineStr">
        <is>
          <t>M³</t>
        </is>
      </c>
      <c r="D18" s="55" t="inlineStr">
        <is>
          <t>OAE-SA</t>
        </is>
      </c>
      <c r="E18" s="17" t="n">
        <v>60299</v>
      </c>
      <c r="F18" s="16" t="n">
        <v>3311.85</v>
      </c>
      <c r="G18" s="16" t="n">
        <v>199701.24</v>
      </c>
    </row>
    <row r="19" ht="15" customHeight="1">
      <c r="A19" s="20" t="inlineStr">
        <is>
          <t>92943</t>
        </is>
      </c>
      <c r="B19" s="21" t="inlineStr">
        <is>
          <t>Plataforma trabalho aço tubular 6-8 m</t>
        </is>
      </c>
      <c r="C19" s="22" t="inlineStr">
        <is>
          <t>M³</t>
        </is>
      </c>
      <c r="D19" s="56" t="inlineStr">
        <is>
          <t>ISAOAE</t>
        </is>
      </c>
      <c r="E19" s="23" t="n">
        <v>20306076</v>
      </c>
      <c r="F19" s="24" t="n">
        <v>12.34</v>
      </c>
      <c r="G19" s="24" t="n">
        <v>250576.97</v>
      </c>
    </row>
    <row r="20" ht="15" customHeight="1">
      <c r="A20" s="12" t="inlineStr">
        <is>
          <t>92944</t>
        </is>
      </c>
      <c r="B20" s="13" t="inlineStr">
        <is>
          <t>Recomp. dreno tubo aço galv. D=80mm</t>
        </is>
      </c>
      <c r="C20" s="14" t="inlineStr">
        <is>
          <t>UN</t>
        </is>
      </c>
      <c r="D20" s="55" t="inlineStr">
        <is>
          <t>ISAOAE</t>
        </is>
      </c>
      <c r="E20" s="17" t="n">
        <v>0</v>
      </c>
      <c r="F20" s="16" t="n">
        <v>85.22</v>
      </c>
      <c r="G20" s="16" t="n">
        <v>0</v>
      </c>
    </row>
    <row r="21" ht="15" customHeight="1">
      <c r="A21" s="20" t="inlineStr">
        <is>
          <t>95165</t>
        </is>
      </c>
      <c r="B21" s="21" t="inlineStr">
        <is>
          <t>Fornec. aplicação adesivo estrutural epóxi</t>
        </is>
      </c>
      <c r="C21" s="22" t="inlineStr">
        <is>
          <t>KG</t>
        </is>
      </c>
      <c r="D21" s="56" t="inlineStr">
        <is>
          <t>OAE-SA</t>
        </is>
      </c>
      <c r="E21" s="23" t="n">
        <v>58360</v>
      </c>
      <c r="F21" s="24" t="n">
        <v>76.04000000000001</v>
      </c>
      <c r="G21" s="24" t="n">
        <v>4437.69</v>
      </c>
    </row>
    <row r="22" ht="15" customHeight="1">
      <c r="A22" s="12" t="inlineStr">
        <is>
          <t>95938</t>
        </is>
      </c>
      <c r="B22" s="13" t="inlineStr">
        <is>
          <t>Apicoamento manual de concreto</t>
        </is>
      </c>
      <c r="C22" s="14" t="inlineStr">
        <is>
          <t>M²</t>
        </is>
      </c>
      <c r="D22" s="55" t="inlineStr">
        <is>
          <t>INCC-P</t>
        </is>
      </c>
      <c r="E22" s="17" t="n">
        <v>583850</v>
      </c>
      <c r="F22" s="16" t="n">
        <v>22.55</v>
      </c>
      <c r="G22" s="16" t="n">
        <v>13165.81</v>
      </c>
    </row>
    <row r="23" ht="15" customHeight="1">
      <c r="A23" s="20" t="inlineStr">
        <is>
          <t>97364</t>
        </is>
      </c>
      <c r="B23" s="21" t="inlineStr">
        <is>
          <t>Bico perfuração injeção adesivo epóxi</t>
        </is>
      </c>
      <c r="C23" s="22" t="inlineStr">
        <is>
          <t>UN</t>
        </is>
      </c>
      <c r="D23" s="56" t="inlineStr">
        <is>
          <t>OAE-SA</t>
        </is>
      </c>
      <c r="E23" s="23" t="n">
        <v>830000</v>
      </c>
      <c r="F23" s="24" t="n">
        <v>8.369999999999999</v>
      </c>
      <c r="G23" s="24" t="n">
        <v>6947.1</v>
      </c>
    </row>
    <row r="24" ht="15" customHeight="1">
      <c r="A24" s="12" t="inlineStr">
        <is>
          <t>97365</t>
        </is>
      </c>
      <c r="B24" s="13" t="inlineStr">
        <is>
          <t>Selagem superficial fissuras adesivo epóxi</t>
        </is>
      </c>
      <c r="C24" s="14" t="inlineStr">
        <is>
          <t>KG</t>
        </is>
      </c>
      <c r="D24" s="55" t="inlineStr">
        <is>
          <t>OAE-SA</t>
        </is>
      </c>
      <c r="E24" s="17" t="n">
        <v>11250</v>
      </c>
      <c r="F24" s="16" t="n">
        <v>70.36</v>
      </c>
      <c r="G24" s="16" t="n">
        <v>791.55</v>
      </c>
    </row>
    <row r="25" ht="15" customHeight="1">
      <c r="A25" s="20" t="inlineStr">
        <is>
          <t>97472</t>
        </is>
      </c>
      <c r="B25" s="21" t="inlineStr">
        <is>
          <t>Concreto FCK=30 MPa</t>
        </is>
      </c>
      <c r="C25" s="22" t="inlineStr">
        <is>
          <t>M³</t>
        </is>
      </c>
      <c r="D25" s="56" t="inlineStr">
        <is>
          <t>OAE-SA</t>
        </is>
      </c>
      <c r="E25" s="23" t="n">
        <v>0</v>
      </c>
      <c r="F25" s="24" t="n">
        <v>431.63</v>
      </c>
      <c r="G25" s="24" t="n">
        <v>0</v>
      </c>
    </row>
    <row r="26" ht="15" customHeight="1">
      <c r="A26" s="12" t="inlineStr">
        <is>
          <t>97473</t>
        </is>
      </c>
      <c r="B26" s="13" t="inlineStr">
        <is>
          <t>Concreto projetado via seca — inclinadas</t>
        </is>
      </c>
      <c r="C26" s="14" t="inlineStr">
        <is>
          <t>M³</t>
        </is>
      </c>
      <c r="D26" s="55" t="inlineStr">
        <is>
          <t>OAE-SA</t>
        </is>
      </c>
      <c r="E26" s="17" t="n">
        <v>31400</v>
      </c>
      <c r="F26" s="16" t="n">
        <v>947.5</v>
      </c>
      <c r="G26" s="16" t="n">
        <v>29751.5</v>
      </c>
    </row>
    <row r="27" ht="15" customHeight="1">
      <c r="A27" s="20" t="inlineStr">
        <is>
          <t>97474</t>
        </is>
      </c>
      <c r="B27" s="21" t="inlineStr">
        <is>
          <t>Concreto projetado via seca — teto</t>
        </is>
      </c>
      <c r="C27" s="22" t="inlineStr">
        <is>
          <t>M³</t>
        </is>
      </c>
      <c r="D27" s="56" t="inlineStr">
        <is>
          <t>OAE-SA</t>
        </is>
      </c>
      <c r="E27" s="23" t="n">
        <v>51200</v>
      </c>
      <c r="F27" s="24" t="n">
        <v>1412.63</v>
      </c>
      <c r="G27" s="24" t="n">
        <v>72326.64999999999</v>
      </c>
    </row>
    <row r="28" ht="15" customHeight="1">
      <c r="A28" s="12" t="inlineStr">
        <is>
          <t>97477</t>
        </is>
      </c>
      <c r="B28" s="13" t="inlineStr">
        <is>
          <t>Perfuração concreto coroa diamantada D=20mm</t>
        </is>
      </c>
      <c r="C28" s="14" t="inlineStr">
        <is>
          <t>M</t>
        </is>
      </c>
      <c r="D28" s="55" t="inlineStr">
        <is>
          <t>OAE-SA</t>
        </is>
      </c>
      <c r="E28" s="17" t="n">
        <v>102000</v>
      </c>
      <c r="F28" s="16" t="n">
        <v>115</v>
      </c>
      <c r="G28" s="16" t="n">
        <v>11730</v>
      </c>
    </row>
    <row r="29" ht="15" customHeight="1">
      <c r="A29" s="20" t="inlineStr">
        <is>
          <t>97479</t>
        </is>
      </c>
      <c r="B29" s="21" t="inlineStr">
        <is>
          <t>Pintura anticorrosiva epóxi poliamida</t>
        </is>
      </c>
      <c r="C29" s="22" t="inlineStr">
        <is>
          <t>M²</t>
        </is>
      </c>
      <c r="D29" s="56" t="inlineStr">
        <is>
          <t>OAE-SA</t>
        </is>
      </c>
      <c r="E29" s="23" t="n">
        <v>0</v>
      </c>
      <c r="F29" s="24" t="n">
        <v>12.98</v>
      </c>
      <c r="G29" s="24" t="n">
        <v>0</v>
      </c>
    </row>
    <row r="30" ht="15" customHeight="1">
      <c r="A30" s="12" t="inlineStr">
        <is>
          <t>97480</t>
        </is>
      </c>
      <c r="B30" s="13" t="inlineStr">
        <is>
          <t>Fôrmas compensado plastificado 10mm</t>
        </is>
      </c>
      <c r="C30" s="14" t="inlineStr">
        <is>
          <t>M²</t>
        </is>
      </c>
      <c r="D30" s="55" t="inlineStr">
        <is>
          <t>OAE-SA</t>
        </is>
      </c>
      <c r="E30" s="17" t="n">
        <v>0</v>
      </c>
      <c r="F30" s="16" t="n">
        <v>84.92</v>
      </c>
      <c r="G30" s="16" t="n">
        <v>0</v>
      </c>
    </row>
    <row r="31" ht="15" customHeight="1">
      <c r="A31" s="20" t="inlineStr">
        <is>
          <t>97482</t>
        </is>
      </c>
      <c r="B31" s="21" t="inlineStr">
        <is>
          <t>Limpeza superf. concreto jateamento</t>
        </is>
      </c>
      <c r="C31" s="22" t="inlineStr">
        <is>
          <t>M²</t>
        </is>
      </c>
      <c r="D31" s="56" t="inlineStr">
        <is>
          <t>OAE-SA</t>
        </is>
      </c>
      <c r="E31" s="23" t="n">
        <v>0</v>
      </c>
      <c r="F31" s="24" t="n">
        <v>1.5</v>
      </c>
      <c r="G31" s="24" t="n">
        <v>0</v>
      </c>
    </row>
    <row r="32" ht="15" customHeight="1">
      <c r="A32" s="12" t="inlineStr">
        <is>
          <t>97486</t>
        </is>
      </c>
      <c r="B32" s="13" t="inlineStr">
        <is>
          <t>Restauração berços apoio junta dilatação</t>
        </is>
      </c>
      <c r="C32" s="14" t="inlineStr">
        <is>
          <t>M</t>
        </is>
      </c>
      <c r="D32" s="55" t="inlineStr">
        <is>
          <t>OAE-SA</t>
        </is>
      </c>
      <c r="E32" s="17" t="n">
        <v>1746700</v>
      </c>
      <c r="F32" s="16" t="n">
        <v>1709.1</v>
      </c>
      <c r="G32" s="16" t="n">
        <v>2985284.97</v>
      </c>
    </row>
    <row r="33" ht="15" customHeight="1">
      <c r="A33" s="20" t="inlineStr">
        <is>
          <t>97488</t>
        </is>
      </c>
      <c r="B33" s="21" t="inlineStr">
        <is>
          <t>Remoção concreto jateamento alta pressão</t>
        </is>
      </c>
      <c r="C33" s="22" t="inlineStr">
        <is>
          <t>M³</t>
        </is>
      </c>
      <c r="D33" s="56" t="inlineStr">
        <is>
          <t>OAE-SA</t>
        </is>
      </c>
      <c r="E33" s="23" t="n">
        <v>25780</v>
      </c>
      <c r="F33" s="24" t="n">
        <v>330.43</v>
      </c>
      <c r="G33" s="24" t="n">
        <v>8518.48</v>
      </c>
    </row>
    <row r="34" ht="15" customHeight="1">
      <c r="A34" s="12" t="inlineStr">
        <is>
          <t>97489</t>
        </is>
      </c>
      <c r="B34" s="13" t="inlineStr">
        <is>
          <t>Demolição controlada concreto martelete</t>
        </is>
      </c>
      <c r="C34" s="14" t="inlineStr">
        <is>
          <t>M³</t>
        </is>
      </c>
      <c r="D34" s="55" t="inlineStr">
        <is>
          <t>OAE-SA</t>
        </is>
      </c>
      <c r="E34" s="17" t="n">
        <v>27750</v>
      </c>
      <c r="F34" s="16" t="n">
        <v>465.81</v>
      </c>
      <c r="G34" s="16" t="n">
        <v>12926.22</v>
      </c>
    </row>
    <row r="35" ht="15" customHeight="1">
      <c r="A35" s="20" t="inlineStr">
        <is>
          <t>97492</t>
        </is>
      </c>
      <c r="B35" s="21" t="inlineStr">
        <is>
          <t>Limpeza remoção material retido OAE</t>
        </is>
      </c>
      <c r="C35" s="22" t="inlineStr">
        <is>
          <t>M³</t>
        </is>
      </c>
      <c r="D35" s="56" t="inlineStr">
        <is>
          <t>OAE-SA</t>
        </is>
      </c>
      <c r="E35" s="23" t="n">
        <v>96200</v>
      </c>
      <c r="F35" s="24" t="n">
        <v>26.34</v>
      </c>
      <c r="G35" s="24" t="n">
        <v>2533.9</v>
      </c>
    </row>
    <row r="36" ht="15" customHeight="1">
      <c r="A36" s="12" t="inlineStr">
        <is>
          <t>97493</t>
        </is>
      </c>
      <c r="B36" s="13" t="inlineStr">
        <is>
          <t>Injeção adesivo epóxi baixa visc. fissuras</t>
        </is>
      </c>
      <c r="C36" s="14" t="inlineStr">
        <is>
          <t>KG</t>
        </is>
      </c>
      <c r="D36" s="55" t="inlineStr">
        <is>
          <t>OAE-SA</t>
        </is>
      </c>
      <c r="E36" s="17" t="n">
        <v>59500</v>
      </c>
      <c r="F36" s="16" t="n">
        <v>250.85</v>
      </c>
      <c r="G36" s="16" t="n">
        <v>14925.57</v>
      </c>
    </row>
    <row r="37" ht="15" customHeight="1">
      <c r="A37" s="20" t="inlineStr">
        <is>
          <t>97799</t>
        </is>
      </c>
      <c r="B37" s="21" t="inlineStr">
        <is>
          <t>Plataforma trabalho aço tubular 4-6 m</t>
        </is>
      </c>
      <c r="C37" s="22" t="inlineStr">
        <is>
          <t>M³</t>
        </is>
      </c>
      <c r="D37" s="56" t="inlineStr">
        <is>
          <t>ISAOAE</t>
        </is>
      </c>
      <c r="E37" s="23" t="n">
        <v>0</v>
      </c>
      <c r="F37" s="24" t="n">
        <v>19.81</v>
      </c>
      <c r="G37" s="24" t="n">
        <v>0</v>
      </c>
    </row>
    <row r="38" ht="15" customHeight="1">
      <c r="A38" s="12" t="inlineStr">
        <is>
          <t>97804</t>
        </is>
      </c>
      <c r="B38" s="13" t="inlineStr">
        <is>
          <t>Armação aço CA/50</t>
        </is>
      </c>
      <c r="C38" s="14" t="inlineStr">
        <is>
          <t>KG</t>
        </is>
      </c>
      <c r="D38" s="55" t="inlineStr">
        <is>
          <t>ISAOAE</t>
        </is>
      </c>
      <c r="E38" s="17" t="n">
        <v>3235100</v>
      </c>
      <c r="F38" s="16" t="n">
        <v>13.66</v>
      </c>
      <c r="G38" s="16" t="n">
        <v>44191.46</v>
      </c>
    </row>
    <row r="39" ht="15" customHeight="1">
      <c r="A39" s="20" t="inlineStr">
        <is>
          <t>97895</t>
        </is>
      </c>
      <c r="B39" s="21" t="inlineStr">
        <is>
          <t>Limpeza aparelhos apoio OAE</t>
        </is>
      </c>
      <c r="C39" s="22" t="inlineStr">
        <is>
          <t>UND</t>
        </is>
      </c>
      <c r="D39" s="56" t="inlineStr">
        <is>
          <t>OAE-SA</t>
        </is>
      </c>
      <c r="E39" s="23" t="n">
        <v>809000</v>
      </c>
      <c r="F39" s="24" t="n">
        <v>98.93000000000001</v>
      </c>
      <c r="G39" s="24" t="n">
        <v>80034.37</v>
      </c>
    </row>
    <row r="40" ht="15" customHeight="1">
      <c r="A40" s="12" t="inlineStr">
        <is>
          <t>99278</t>
        </is>
      </c>
      <c r="B40" s="13" t="inlineStr">
        <is>
          <t>Fôrma metálica curva chapa 3/16"</t>
        </is>
      </c>
      <c r="C40" s="14" t="inlineStr">
        <is>
          <t>M²</t>
        </is>
      </c>
      <c r="D40" s="55" t="inlineStr">
        <is>
          <t>ISAOAE</t>
        </is>
      </c>
      <c r="E40" s="17" t="n">
        <v>8000</v>
      </c>
      <c r="F40" s="16" t="n">
        <v>21.47</v>
      </c>
      <c r="G40" s="16" t="n">
        <v>171.76</v>
      </c>
    </row>
    <row r="41" ht="15" customHeight="1">
      <c r="A41" s="20" t="inlineStr">
        <is>
          <t>99279</t>
        </is>
      </c>
      <c r="B41" s="21" t="inlineStr">
        <is>
          <t>Pingadeira elastômero 40x40mm</t>
        </is>
      </c>
      <c r="C41" s="22" t="inlineStr">
        <is>
          <t>M</t>
        </is>
      </c>
      <c r="D41" s="56" t="inlineStr">
        <is>
          <t>OAE-SA</t>
        </is>
      </c>
      <c r="E41" s="23" t="n">
        <v>0</v>
      </c>
      <c r="F41" s="24" t="n">
        <v>189.13</v>
      </c>
      <c r="G41" s="24" t="n">
        <v>0</v>
      </c>
    </row>
    <row r="42" ht="15" customHeight="1">
      <c r="A42" s="12" t="inlineStr">
        <is>
          <t>99280</t>
        </is>
      </c>
      <c r="B42" s="13" t="inlineStr">
        <is>
          <t>Plataforma suspensa tabuleiro pontes</t>
        </is>
      </c>
      <c r="C42" s="14" t="inlineStr">
        <is>
          <t>M²</t>
        </is>
      </c>
      <c r="D42" s="55" t="inlineStr">
        <is>
          <t>ISAOAE</t>
        </is>
      </c>
      <c r="E42" s="17" t="n">
        <v>0</v>
      </c>
      <c r="F42" s="16" t="n">
        <v>68.47</v>
      </c>
      <c r="G42" s="16" t="n">
        <v>0</v>
      </c>
    </row>
    <row r="43" ht="15" customHeight="1">
      <c r="A43" s="20" t="inlineStr">
        <is>
          <t>99281</t>
        </is>
      </c>
      <c r="B43" s="21" t="inlineStr">
        <is>
          <t>Recomp. dreno tubo aço galv. D=100mm</t>
        </is>
      </c>
      <c r="C43" s="22" t="inlineStr">
        <is>
          <t>UND</t>
        </is>
      </c>
      <c r="D43" s="56" t="inlineStr">
        <is>
          <t>ISAOAE</t>
        </is>
      </c>
      <c r="E43" s="23" t="n">
        <v>0</v>
      </c>
      <c r="F43" s="24" t="n">
        <v>99.29000000000001</v>
      </c>
      <c r="G43" s="24" t="n">
        <v>0</v>
      </c>
    </row>
    <row r="44" ht="15" customHeight="1">
      <c r="A44" s="12" t="inlineStr">
        <is>
          <t>395000</t>
        </is>
      </c>
      <c r="B44" s="13" t="inlineStr">
        <is>
          <t>Limpeza de ponte</t>
        </is>
      </c>
      <c r="C44" s="14" t="inlineStr">
        <is>
          <t>M</t>
        </is>
      </c>
      <c r="D44" s="55" t="inlineStr">
        <is>
          <t>CONSER</t>
        </is>
      </c>
      <c r="E44" s="17" t="n">
        <v>4780230</v>
      </c>
      <c r="F44" s="16" t="n">
        <v>5.26</v>
      </c>
      <c r="G44" s="16" t="n">
        <v>25144</v>
      </c>
    </row>
    <row r="45" ht="15" customHeight="1">
      <c r="A45" s="20" t="inlineStr">
        <is>
          <t>890000</t>
        </is>
      </c>
      <c r="B45" s="21" t="inlineStr">
        <is>
          <t>Roçada manual</t>
        </is>
      </c>
      <c r="C45" s="22" t="inlineStr">
        <is>
          <t>HA</t>
        </is>
      </c>
      <c r="D45" s="56" t="inlineStr">
        <is>
          <t>CONSER</t>
        </is>
      </c>
      <c r="E45" s="31" t="n">
        <v>0.712</v>
      </c>
      <c r="F45" s="24" t="n">
        <v>2218.48</v>
      </c>
      <c r="G45" s="24" t="n">
        <v>1579.55</v>
      </c>
    </row>
    <row r="46" ht="20" customHeight="1">
      <c r="A46" s="32" t="inlineStr">
        <is>
          <t>Subtotal</t>
        </is>
      </c>
      <c r="B46" s="33" t="n"/>
      <c r="C46" s="33" t="n"/>
      <c r="D46" s="33" t="n"/>
      <c r="E46" s="33" t="n"/>
      <c r="F46" s="33" t="n"/>
      <c r="G46" s="34" t="n">
        <v>3891675.93</v>
      </c>
    </row>
    <row r="47" ht="20" customHeight="1">
      <c r="A47" s="11" t="inlineStr">
        <is>
          <t>1.1 — SERV. MANUTENÇÃO — DESC. P/REEQUILÍBRIO</t>
        </is>
      </c>
      <c r="B47" s="4" t="n"/>
      <c r="C47" s="4" t="n"/>
      <c r="D47" s="4" t="n"/>
      <c r="E47" s="4" t="n"/>
      <c r="F47" s="4" t="n"/>
      <c r="G47" s="4" t="n"/>
    </row>
    <row r="48" ht="15" customHeight="1">
      <c r="A48" s="12" t="inlineStr">
        <is>
          <t>11983</t>
        </is>
      </c>
      <c r="B48" s="13" t="inlineStr">
        <is>
          <t>Contenção areia-cimento ensacada</t>
        </is>
      </c>
      <c r="C48" s="14" t="inlineStr">
        <is>
          <t>M³</t>
        </is>
      </c>
      <c r="D48" s="55" t="inlineStr">
        <is>
          <t>OAE-SA</t>
        </is>
      </c>
      <c r="E48" s="17" t="n">
        <v>20000</v>
      </c>
      <c r="F48" s="16" t="n">
        <v>436.85</v>
      </c>
      <c r="G48" s="16" t="n">
        <v>8737</v>
      </c>
    </row>
    <row r="49" ht="15" customHeight="1">
      <c r="A49" s="20" t="inlineStr">
        <is>
          <t>49946</t>
        </is>
      </c>
      <c r="B49" s="21" t="inlineStr">
        <is>
          <t>Pedra argamassada cimento areia 1:3</t>
        </is>
      </c>
      <c r="C49" s="22" t="inlineStr">
        <is>
          <t>M³</t>
        </is>
      </c>
      <c r="D49" s="56" t="inlineStr">
        <is>
          <t>OAE-SA</t>
        </is>
      </c>
      <c r="E49" s="23" t="n">
        <v>270000</v>
      </c>
      <c r="F49" s="24" t="n">
        <v>365.53</v>
      </c>
      <c r="G49" s="24" t="n">
        <v>98693.10000000001</v>
      </c>
    </row>
    <row r="50" ht="15" customHeight="1">
      <c r="A50" s="12" t="inlineStr">
        <is>
          <t>50281</t>
        </is>
      </c>
      <c r="B50" s="13" t="inlineStr">
        <is>
          <t>Recomp. erosão corte ou aterro</t>
        </is>
      </c>
      <c r="C50" s="14" t="inlineStr">
        <is>
          <t>M³</t>
        </is>
      </c>
      <c r="D50" s="55" t="inlineStr">
        <is>
          <t>CONSER</t>
        </is>
      </c>
      <c r="E50" s="17" t="n">
        <v>75000</v>
      </c>
      <c r="F50" s="16" t="n">
        <v>21.61</v>
      </c>
      <c r="G50" s="16" t="n">
        <v>1620.75</v>
      </c>
    </row>
    <row r="51" ht="15" customHeight="1">
      <c r="A51" s="20" t="inlineStr">
        <is>
          <t>51114</t>
        </is>
      </c>
      <c r="B51" s="21" t="inlineStr">
        <is>
          <t>Pintura manual nata de cimento 3 demãos</t>
        </is>
      </c>
      <c r="C51" s="22" t="inlineStr">
        <is>
          <t>M²</t>
        </is>
      </c>
      <c r="D51" s="56" t="inlineStr">
        <is>
          <t>CONSER</t>
        </is>
      </c>
      <c r="E51" s="23" t="n">
        <v>180214190</v>
      </c>
      <c r="F51" s="24" t="n">
        <v>5.24</v>
      </c>
      <c r="G51" s="24" t="n">
        <v>944322.35</v>
      </c>
    </row>
    <row r="52" ht="15" customHeight="1">
      <c r="A52" s="12" t="inlineStr">
        <is>
          <t>92942</t>
        </is>
      </c>
      <c r="B52" s="13" t="inlineStr">
        <is>
          <t>Plataforma trabalho aço tubular até 4 m</t>
        </is>
      </c>
      <c r="C52" s="14" t="inlineStr">
        <is>
          <t>M³</t>
        </is>
      </c>
      <c r="D52" s="55" t="inlineStr">
        <is>
          <t>ISAOAE</t>
        </is>
      </c>
      <c r="E52" s="17" t="n">
        <v>1206000</v>
      </c>
      <c r="F52" s="16" t="n">
        <v>37.83</v>
      </c>
      <c r="G52" s="16" t="n">
        <v>45622.98</v>
      </c>
    </row>
    <row r="53" ht="15" customHeight="1">
      <c r="A53" s="20" t="inlineStr">
        <is>
          <t>92944</t>
        </is>
      </c>
      <c r="B53" s="21" t="inlineStr">
        <is>
          <t>Recomp. dreno tubo aço galv. D=80mm</t>
        </is>
      </c>
      <c r="C53" s="22" t="inlineStr">
        <is>
          <t>UN</t>
        </is>
      </c>
      <c r="D53" s="56" t="inlineStr">
        <is>
          <t>ISAOAE</t>
        </is>
      </c>
      <c r="E53" s="23" t="n">
        <v>2592000</v>
      </c>
      <c r="F53" s="24" t="n">
        <v>84.64</v>
      </c>
      <c r="G53" s="24" t="n">
        <v>219386.88</v>
      </c>
    </row>
    <row r="54" ht="15" customHeight="1">
      <c r="A54" s="12" t="inlineStr">
        <is>
          <t>97472</t>
        </is>
      </c>
      <c r="B54" s="13" t="inlineStr">
        <is>
          <t>Concreto FCK=30 MPa</t>
        </is>
      </c>
      <c r="C54" s="14" t="inlineStr">
        <is>
          <t>M³</t>
        </is>
      </c>
      <c r="D54" s="55" t="inlineStr">
        <is>
          <t>OAE-SA</t>
        </is>
      </c>
      <c r="E54" s="17" t="n">
        <v>72364</v>
      </c>
      <c r="F54" s="16" t="n">
        <v>428.67</v>
      </c>
      <c r="G54" s="16" t="n">
        <v>31020.27</v>
      </c>
    </row>
    <row r="55" ht="15" customHeight="1">
      <c r="A55" s="20" t="inlineStr">
        <is>
          <t>97479</t>
        </is>
      </c>
      <c r="B55" s="21" t="inlineStr">
        <is>
          <t>Pintura anticorrosiva epóxi poliamida</t>
        </is>
      </c>
      <c r="C55" s="22" t="inlineStr">
        <is>
          <t>M²</t>
        </is>
      </c>
      <c r="D55" s="56" t="inlineStr">
        <is>
          <t>OAE-SA</t>
        </is>
      </c>
      <c r="E55" s="23" t="n">
        <v>332850</v>
      </c>
      <c r="F55" s="24" t="n">
        <v>12.89</v>
      </c>
      <c r="G55" s="24" t="n">
        <v>4290.43</v>
      </c>
    </row>
    <row r="56" ht="15" customHeight="1">
      <c r="A56" s="12" t="inlineStr">
        <is>
          <t>97480</t>
        </is>
      </c>
      <c r="B56" s="13" t="inlineStr">
        <is>
          <t>Fôrmas compensado plastificado 10mm</t>
        </is>
      </c>
      <c r="C56" s="14" t="inlineStr">
        <is>
          <t>M²</t>
        </is>
      </c>
      <c r="D56" s="55" t="inlineStr">
        <is>
          <t>OAE-SA</t>
        </is>
      </c>
      <c r="E56" s="17" t="n">
        <v>485160</v>
      </c>
      <c r="F56" s="16" t="n">
        <v>84.34</v>
      </c>
      <c r="G56" s="16" t="n">
        <v>40918.39</v>
      </c>
    </row>
    <row r="57" ht="15" customHeight="1">
      <c r="A57" s="20" t="inlineStr">
        <is>
          <t>97482</t>
        </is>
      </c>
      <c r="B57" s="21" t="inlineStr">
        <is>
          <t>Limpeza superf. concreto jateamento</t>
        </is>
      </c>
      <c r="C57" s="22" t="inlineStr">
        <is>
          <t>M²</t>
        </is>
      </c>
      <c r="D57" s="56" t="inlineStr">
        <is>
          <t>OAE-SA</t>
        </is>
      </c>
      <c r="E57" s="23" t="n">
        <v>179768830</v>
      </c>
      <c r="F57" s="24" t="n">
        <v>1.49</v>
      </c>
      <c r="G57" s="24" t="n">
        <v>267855.55</v>
      </c>
    </row>
    <row r="58" ht="15" customHeight="1">
      <c r="A58" s="12" t="inlineStr">
        <is>
          <t>97799</t>
        </is>
      </c>
      <c r="B58" s="13" t="inlineStr">
        <is>
          <t>Plataforma trabalho aço tubular 4-6 m</t>
        </is>
      </c>
      <c r="C58" s="14" t="inlineStr">
        <is>
          <t>M³</t>
        </is>
      </c>
      <c r="D58" s="55" t="inlineStr">
        <is>
          <t>ISAOAE</t>
        </is>
      </c>
      <c r="E58" s="17" t="n">
        <v>54463210</v>
      </c>
      <c r="F58" s="16" t="n">
        <v>19.66</v>
      </c>
      <c r="G58" s="16" t="n">
        <v>1070746.7</v>
      </c>
    </row>
    <row r="59" ht="15" customHeight="1">
      <c r="A59" s="20" t="inlineStr">
        <is>
          <t>99279</t>
        </is>
      </c>
      <c r="B59" s="21" t="inlineStr">
        <is>
          <t>Pingadeira elastômero 40x40mm</t>
        </is>
      </c>
      <c r="C59" s="22" t="inlineStr">
        <is>
          <t>M</t>
        </is>
      </c>
      <c r="D59" s="56" t="inlineStr">
        <is>
          <t>OAE-SA</t>
        </is>
      </c>
      <c r="E59" s="23" t="n">
        <v>8390560</v>
      </c>
      <c r="F59" s="24" t="n">
        <v>187.82</v>
      </c>
      <c r="G59" s="24" t="n">
        <v>1575914.97</v>
      </c>
    </row>
    <row r="60" ht="15" customHeight="1">
      <c r="A60" s="12" t="inlineStr">
        <is>
          <t>99280</t>
        </is>
      </c>
      <c r="B60" s="13" t="inlineStr">
        <is>
          <t>Plataforma suspensa tabuleiro pontes</t>
        </is>
      </c>
      <c r="C60" s="14" t="inlineStr">
        <is>
          <t>M²</t>
        </is>
      </c>
      <c r="D60" s="55" t="inlineStr">
        <is>
          <t>ISAOAE</t>
        </is>
      </c>
      <c r="E60" s="17" t="n">
        <v>20360840</v>
      </c>
      <c r="F60" s="16" t="n">
        <v>67.98999999999999</v>
      </c>
      <c r="G60" s="16" t="n">
        <v>1384333.51</v>
      </c>
    </row>
    <row r="61" ht="15" customHeight="1">
      <c r="A61" s="20" t="inlineStr">
        <is>
          <t>99281</t>
        </is>
      </c>
      <c r="B61" s="21" t="inlineStr">
        <is>
          <t>Recomp. dreno tubo aço galv. D=100mm</t>
        </is>
      </c>
      <c r="C61" s="22" t="inlineStr">
        <is>
          <t>UND</t>
        </is>
      </c>
      <c r="D61" s="56" t="inlineStr">
        <is>
          <t>ISAOAE</t>
        </is>
      </c>
      <c r="E61" s="23" t="n">
        <v>230000</v>
      </c>
      <c r="F61" s="24" t="n">
        <v>98.61</v>
      </c>
      <c r="G61" s="24" t="n">
        <v>22680.3</v>
      </c>
    </row>
    <row r="62" ht="20" customHeight="1">
      <c r="A62" s="32" t="inlineStr">
        <is>
          <t>Subtotal</t>
        </is>
      </c>
      <c r="B62" s="33" t="n"/>
      <c r="C62" s="33" t="n"/>
      <c r="D62" s="33" t="n"/>
      <c r="E62" s="33" t="n"/>
      <c r="F62" s="33" t="n"/>
      <c r="G62" s="34" t="n">
        <v>5716143.18</v>
      </c>
    </row>
    <row r="63" ht="20" customHeight="1">
      <c r="A63" s="11" t="inlineStr">
        <is>
          <t>2 — SERVIÇOS PRELIMINARES</t>
        </is>
      </c>
      <c r="B63" s="4" t="n"/>
      <c r="C63" s="4" t="n"/>
      <c r="D63" s="4" t="n"/>
      <c r="E63" s="4" t="n"/>
      <c r="F63" s="4" t="n"/>
      <c r="G63" s="4" t="n"/>
    </row>
    <row r="64" ht="15" customHeight="1">
      <c r="A64" s="12" t="inlineStr">
        <is>
          <t>52231</t>
        </is>
      </c>
      <c r="B64" s="13" t="inlineStr">
        <is>
          <t>Custo de instalação de canteiro</t>
        </is>
      </c>
      <c r="C64" s="14" t="inlineStr">
        <is>
          <t>UN</t>
        </is>
      </c>
      <c r="D64" s="55" t="inlineStr">
        <is>
          <t>INCC</t>
        </is>
      </c>
      <c r="E64" s="15" t="n">
        <v>1</v>
      </c>
      <c r="F64" s="16" t="n">
        <v>57077</v>
      </c>
      <c r="G64" s="16" t="n">
        <v>57077</v>
      </c>
    </row>
    <row r="65" ht="15" customHeight="1">
      <c r="A65" s="20" t="inlineStr">
        <is>
          <t>86617</t>
        </is>
      </c>
      <c r="B65" s="21" t="inlineStr">
        <is>
          <t>Mobilização e desmobilização</t>
        </is>
      </c>
      <c r="C65" s="22" t="inlineStr">
        <is>
          <t>UN</t>
        </is>
      </c>
      <c r="D65" s="56" t="inlineStr">
        <is>
          <t>MOB</t>
        </is>
      </c>
      <c r="E65" s="31" t="n">
        <v>1</v>
      </c>
      <c r="F65" s="24" t="n">
        <v>23419.51</v>
      </c>
      <c r="G65" s="24" t="n">
        <v>23419.51</v>
      </c>
    </row>
    <row r="66" ht="15" customHeight="1">
      <c r="A66" s="12" t="inlineStr">
        <is>
          <t>90197</t>
        </is>
      </c>
      <c r="B66" s="13" t="inlineStr">
        <is>
          <t>Administração local + manutenção canteiro</t>
        </is>
      </c>
      <c r="C66" s="14" t="inlineStr">
        <is>
          <t>UND</t>
        </is>
      </c>
      <c r="D66" s="55" t="inlineStr">
        <is>
          <t>ADLOC</t>
        </is>
      </c>
      <c r="E66" s="15" t="n">
        <v>1</v>
      </c>
      <c r="F66" s="16" t="n">
        <v>1480303</v>
      </c>
      <c r="G66" s="16" t="n">
        <v>1480303</v>
      </c>
    </row>
    <row r="67" ht="20" customHeight="1">
      <c r="A67" s="32" t="inlineStr">
        <is>
          <t>Subtotal</t>
        </is>
      </c>
      <c r="B67" s="33" t="n"/>
      <c r="C67" s="33" t="n"/>
      <c r="D67" s="33" t="n"/>
      <c r="E67" s="33" t="n"/>
      <c r="F67" s="33" t="n"/>
      <c r="G67" s="34" t="n">
        <v>1560799.51</v>
      </c>
    </row>
    <row r="68" ht="20" customHeight="1">
      <c r="A68" s="11" t="inlineStr">
        <is>
          <t>3 — ESTORNO</t>
        </is>
      </c>
      <c r="B68" s="4" t="n"/>
      <c r="C68" s="4" t="n"/>
      <c r="D68" s="4" t="n"/>
      <c r="E68" s="4" t="n"/>
      <c r="F68" s="4" t="n"/>
      <c r="G68" s="4" t="n"/>
    </row>
    <row r="69" ht="15" customHeight="1">
      <c r="A69" s="12" t="inlineStr">
        <is>
          <t>9999862</t>
        </is>
      </c>
      <c r="B69" s="13" t="inlineStr">
        <is>
          <t>EST ISS REF AC 32/08-TCU-P</t>
        </is>
      </c>
      <c r="C69" s="14" t="inlineStr">
        <is>
          <t>R$</t>
        </is>
      </c>
      <c r="D69" s="55" t="inlineStr">
        <is>
          <t>ESP</t>
        </is>
      </c>
      <c r="E69" s="17" t="n">
        <v>0</v>
      </c>
      <c r="F69" s="16" t="n">
        <v>1</v>
      </c>
      <c r="G69" s="16" t="n">
        <v>0</v>
      </c>
    </row>
    <row r="70" ht="20" customHeight="1">
      <c r="A70" s="32" t="inlineStr">
        <is>
          <t>Subtotal</t>
        </is>
      </c>
      <c r="B70" s="33" t="n"/>
      <c r="C70" s="33" t="n"/>
      <c r="D70" s="33" t="n"/>
      <c r="E70" s="33" t="n"/>
      <c r="F70" s="33" t="n"/>
      <c r="G70" s="34" t="n">
        <v>0</v>
      </c>
    </row>
    <row r="71" ht="20" customHeight="1">
      <c r="A71" s="11" t="inlineStr">
        <is>
          <t>4 — SINALIZAÇÃO DE OBRAS</t>
        </is>
      </c>
      <c r="B71" s="4" t="n"/>
      <c r="C71" s="4" t="n"/>
      <c r="D71" s="4" t="n"/>
      <c r="E71" s="4" t="n"/>
      <c r="F71" s="4" t="n"/>
      <c r="G71" s="4" t="n"/>
    </row>
    <row r="72" ht="15" customHeight="1">
      <c r="A72" s="12" t="inlineStr">
        <is>
          <t>49321</t>
        </is>
      </c>
      <c r="B72" s="13" t="inlineStr">
        <is>
          <t>Operação sinalização bandeirola</t>
        </is>
      </c>
      <c r="C72" s="14" t="inlineStr">
        <is>
          <t>H</t>
        </is>
      </c>
      <c r="D72" s="55" t="inlineStr">
        <is>
          <t>SIN-V</t>
        </is>
      </c>
      <c r="E72" s="17" t="n">
        <v>1248000</v>
      </c>
      <c r="F72" s="16" t="n">
        <v>20.75</v>
      </c>
      <c r="G72" s="16" t="n">
        <v>25896</v>
      </c>
    </row>
    <row r="73" ht="15" customHeight="1">
      <c r="A73" s="20" t="inlineStr">
        <is>
          <t>91397</t>
        </is>
      </c>
      <c r="B73" s="21" t="inlineStr">
        <is>
          <t>Placa regulament. sinaliz.</t>
        </is>
      </c>
      <c r="C73" s="22" t="inlineStr">
        <is>
          <t>UN/DI</t>
        </is>
      </c>
      <c r="D73" s="56" t="inlineStr">
        <is>
          <t>SIN-V</t>
        </is>
      </c>
      <c r="E73" s="23" t="n">
        <v>208000</v>
      </c>
      <c r="F73" s="24" t="n">
        <v>1.14</v>
      </c>
      <c r="G73" s="24" t="n">
        <v>237.12</v>
      </c>
    </row>
    <row r="74" ht="15" customHeight="1">
      <c r="A74" s="12" t="inlineStr">
        <is>
          <t>91574</t>
        </is>
      </c>
      <c r="B74" s="13" t="inlineStr">
        <is>
          <t>Luz advertência bateria</t>
        </is>
      </c>
      <c r="C74" s="14" t="inlineStr">
        <is>
          <t>UN/DI</t>
        </is>
      </c>
      <c r="D74" s="55" t="inlineStr">
        <is>
          <t>SIN-V</t>
        </is>
      </c>
      <c r="E74" s="17" t="n">
        <v>573000</v>
      </c>
      <c r="F74" s="16" t="n">
        <v>1.13</v>
      </c>
      <c r="G74" s="16" t="n">
        <v>647.49</v>
      </c>
    </row>
    <row r="75" ht="15" customHeight="1">
      <c r="A75" s="20" t="inlineStr">
        <is>
          <t>92597</t>
        </is>
      </c>
      <c r="B75" s="21" t="inlineStr">
        <is>
          <t>Placa regulament. sinaliz. D=1m</t>
        </is>
      </c>
      <c r="C75" s="22" t="inlineStr">
        <is>
          <t>UN/DI</t>
        </is>
      </c>
      <c r="D75" s="56" t="inlineStr">
        <is>
          <t>SIN-V</t>
        </is>
      </c>
      <c r="E75" s="23" t="n">
        <v>732000</v>
      </c>
      <c r="F75" s="24" t="n">
        <v>1.11</v>
      </c>
      <c r="G75" s="24" t="n">
        <v>812.52</v>
      </c>
    </row>
    <row r="76" ht="15" customHeight="1">
      <c r="A76" s="12" t="inlineStr">
        <is>
          <t>97567</t>
        </is>
      </c>
      <c r="B76" s="13" t="inlineStr">
        <is>
          <t>Placa sinaliz. cavalete 1x1m</t>
        </is>
      </c>
      <c r="C76" s="14" t="inlineStr">
        <is>
          <t>UN/DI</t>
        </is>
      </c>
      <c r="D76" s="55" t="inlineStr">
        <is>
          <t>SIN-V</t>
        </is>
      </c>
      <c r="E76" s="17" t="n">
        <v>106000</v>
      </c>
      <c r="F76" s="16" t="n">
        <v>1.06</v>
      </c>
      <c r="G76" s="16" t="n">
        <v>112.36</v>
      </c>
    </row>
    <row r="77" ht="15" customHeight="1">
      <c r="A77" s="20" t="inlineStr">
        <is>
          <t>99415</t>
        </is>
      </c>
      <c r="B77" s="21" t="inlineStr">
        <is>
          <t>Cone plástico canalização trânsito</t>
        </is>
      </c>
      <c r="C77" s="22" t="inlineStr">
        <is>
          <t>UN/DI</t>
        </is>
      </c>
      <c r="D77" s="56" t="inlineStr">
        <is>
          <t>SIN-V</t>
        </is>
      </c>
      <c r="E77" s="23" t="n">
        <v>515000</v>
      </c>
      <c r="F77" s="24" t="n">
        <v>0.6899999999999999</v>
      </c>
      <c r="G77" s="24" t="n">
        <v>355.35</v>
      </c>
    </row>
    <row r="78" ht="15" customHeight="1">
      <c r="A78" s="12" t="inlineStr">
        <is>
          <t>804485</t>
        </is>
      </c>
      <c r="B78" s="13" t="inlineStr">
        <is>
          <t>Cilindro canalizador tráfego</t>
        </is>
      </c>
      <c r="C78" s="14" t="inlineStr">
        <is>
          <t>UN/DI</t>
        </is>
      </c>
      <c r="D78" s="55" t="inlineStr">
        <is>
          <t>SIN-V</t>
        </is>
      </c>
      <c r="E78" s="17" t="n">
        <v>58000</v>
      </c>
      <c r="F78" s="16" t="n">
        <v>2.78</v>
      </c>
      <c r="G78" s="16" t="n">
        <v>161.24</v>
      </c>
    </row>
    <row r="79" ht="15" customHeight="1">
      <c r="A79" s="20" t="inlineStr">
        <is>
          <t>7200844</t>
        </is>
      </c>
      <c r="B79" s="21" t="inlineStr">
        <is>
          <t>Placa advertência sinaliz.</t>
        </is>
      </c>
      <c r="C79" s="22" t="inlineStr">
        <is>
          <t>UN/DI</t>
        </is>
      </c>
      <c r="D79" s="56" t="inlineStr">
        <is>
          <t>SIN-V</t>
        </is>
      </c>
      <c r="E79" s="23" t="n">
        <v>946000</v>
      </c>
      <c r="F79" s="24" t="n">
        <v>1.26</v>
      </c>
      <c r="G79" s="24" t="n">
        <v>1191.96</v>
      </c>
    </row>
    <row r="80" ht="15" customHeight="1">
      <c r="A80" s="12" t="inlineStr">
        <is>
          <t>8301051</t>
        </is>
      </c>
      <c r="B80" s="13" t="inlineStr">
        <is>
          <t>Cavalete polietileno zebrado</t>
        </is>
      </c>
      <c r="C80" s="14" t="inlineStr">
        <is>
          <t>UN/DI</t>
        </is>
      </c>
      <c r="D80" s="55" t="inlineStr">
        <is>
          <t>SIN-V</t>
        </is>
      </c>
      <c r="E80" s="17" t="n">
        <v>418000</v>
      </c>
      <c r="F80" s="16" t="n">
        <v>0.65</v>
      </c>
      <c r="G80" s="16" t="n">
        <v>271.7</v>
      </c>
    </row>
    <row r="81" ht="20" customHeight="1">
      <c r="A81" s="32" t="inlineStr">
        <is>
          <t>Subtotal</t>
        </is>
      </c>
      <c r="B81" s="33" t="n"/>
      <c r="C81" s="33" t="n"/>
      <c r="D81" s="33" t="n"/>
      <c r="E81" s="33" t="n"/>
      <c r="F81" s="33" t="n"/>
      <c r="G81" s="34" t="n">
        <v>29685.74</v>
      </c>
    </row>
    <row r="82" ht="20" customHeight="1">
      <c r="A82" s="11" t="inlineStr">
        <is>
          <t>5 — INSTALAÇÕES PONTE DE IGAPÓ</t>
        </is>
      </c>
      <c r="B82" s="4" t="n"/>
      <c r="C82" s="4" t="n"/>
      <c r="D82" s="4" t="n"/>
      <c r="E82" s="4" t="n"/>
      <c r="F82" s="4" t="n"/>
      <c r="G82" s="4" t="n"/>
    </row>
    <row r="83" ht="15" customHeight="1">
      <c r="A83" s="12" t="inlineStr">
        <is>
          <t>83120</t>
        </is>
      </c>
      <c r="B83" s="13" t="inlineStr">
        <is>
          <t>Relé fotoelétrico 1000W</t>
        </is>
      </c>
      <c r="C83" s="14" t="inlineStr">
        <is>
          <t>UND</t>
        </is>
      </c>
      <c r="D83" s="55" t="inlineStr">
        <is>
          <t>INCC</t>
        </is>
      </c>
      <c r="E83" s="17" t="n">
        <v>40000</v>
      </c>
      <c r="F83" s="16" t="n">
        <v>22.49</v>
      </c>
      <c r="G83" s="16" t="n">
        <v>899.6</v>
      </c>
    </row>
    <row r="84" ht="15" customHeight="1">
      <c r="A84" s="20" t="inlineStr">
        <is>
          <t>97472</t>
        </is>
      </c>
      <c r="B84" s="21" t="inlineStr">
        <is>
          <t>Concreto FCK=30 MPa</t>
        </is>
      </c>
      <c r="C84" s="22" t="inlineStr">
        <is>
          <t>M³</t>
        </is>
      </c>
      <c r="D84" s="56" t="inlineStr">
        <is>
          <t>OAE-SA</t>
        </is>
      </c>
      <c r="E84" s="23" t="n">
        <v>10000</v>
      </c>
      <c r="F84" s="24" t="n">
        <v>428.67</v>
      </c>
      <c r="G84" s="24" t="n">
        <v>4286.7</v>
      </c>
    </row>
    <row r="85" ht="15" customHeight="1">
      <c r="A85" s="12" t="inlineStr">
        <is>
          <t>97478</t>
        </is>
      </c>
      <c r="B85" s="13" t="inlineStr">
        <is>
          <t>Fornec. aplicação adesivo epóxi</t>
        </is>
      </c>
      <c r="C85" s="14" t="inlineStr">
        <is>
          <t>KG</t>
        </is>
      </c>
      <c r="D85" s="55" t="inlineStr">
        <is>
          <t>OAE-SA</t>
        </is>
      </c>
      <c r="E85" s="17" t="n">
        <v>40000</v>
      </c>
      <c r="F85" s="16" t="n">
        <v>76.04000000000001</v>
      </c>
      <c r="G85" s="16" t="n">
        <v>3041.6</v>
      </c>
    </row>
    <row r="86" ht="15" customHeight="1">
      <c r="A86" s="20" t="inlineStr">
        <is>
          <t>97489</t>
        </is>
      </c>
      <c r="B86" s="21" t="inlineStr">
        <is>
          <t>Demolição controlada concreto martelete</t>
        </is>
      </c>
      <c r="C86" s="22" t="inlineStr">
        <is>
          <t>M³</t>
        </is>
      </c>
      <c r="D86" s="56" t="inlineStr">
        <is>
          <t>OAE-SA</t>
        </is>
      </c>
      <c r="E86" s="23" t="n">
        <v>44000</v>
      </c>
      <c r="F86" s="24" t="n">
        <v>366.86</v>
      </c>
      <c r="G86" s="24" t="n">
        <v>16141.84</v>
      </c>
    </row>
    <row r="87" ht="15" customHeight="1">
      <c r="A87" s="12" t="inlineStr">
        <is>
          <t>97804</t>
        </is>
      </c>
      <c r="B87" s="13" t="inlineStr">
        <is>
          <t>Armação aço CA/50</t>
        </is>
      </c>
      <c r="C87" s="14" t="inlineStr">
        <is>
          <t>KG</t>
        </is>
      </c>
      <c r="D87" s="55" t="inlineStr">
        <is>
          <t>ISAOAE</t>
        </is>
      </c>
      <c r="E87" s="17" t="n">
        <v>192504</v>
      </c>
      <c r="F87" s="16" t="n">
        <v>13.66</v>
      </c>
      <c r="G87" s="16" t="n">
        <v>2629.6</v>
      </c>
    </row>
    <row r="88" ht="15" customHeight="1">
      <c r="A88" s="20" t="inlineStr">
        <is>
          <t>99278</t>
        </is>
      </c>
      <c r="B88" s="21" t="inlineStr">
        <is>
          <t>Fôrma metálica curva chapa 3/16"</t>
        </is>
      </c>
      <c r="C88" s="22" t="inlineStr">
        <is>
          <t>M²</t>
        </is>
      </c>
      <c r="D88" s="56" t="inlineStr">
        <is>
          <t>ISAOAE</t>
        </is>
      </c>
      <c r="E88" s="23" t="n">
        <v>64000</v>
      </c>
      <c r="F88" s="24" t="n">
        <v>21.47</v>
      </c>
      <c r="G88" s="24" t="n">
        <v>1374.08</v>
      </c>
    </row>
    <row r="89" ht="15" customHeight="1">
      <c r="A89" s="12" t="inlineStr">
        <is>
          <t>952420</t>
        </is>
      </c>
      <c r="B89" s="13" t="inlineStr">
        <is>
          <t>Luminária LED 138-180W</t>
        </is>
      </c>
      <c r="C89" s="14" t="inlineStr">
        <is>
          <t>UN</t>
        </is>
      </c>
      <c r="D89" s="55" t="inlineStr">
        <is>
          <t>OCMA</t>
        </is>
      </c>
      <c r="E89" s="17" t="n">
        <v>40000</v>
      </c>
      <c r="F89" s="16" t="n">
        <v>947.67</v>
      </c>
      <c r="G89" s="16" t="n">
        <v>37906.8</v>
      </c>
    </row>
    <row r="90" ht="15" customHeight="1">
      <c r="A90" s="20" t="inlineStr">
        <is>
          <t>4805750</t>
        </is>
      </c>
      <c r="B90" s="21" t="inlineStr">
        <is>
          <t>Escavação manual 1ª cat.</t>
        </is>
      </c>
      <c r="C90" s="22" t="inlineStr">
        <is>
          <t>M³</t>
        </is>
      </c>
      <c r="D90" s="56" t="inlineStr">
        <is>
          <t>TERRAP</t>
        </is>
      </c>
      <c r="E90" s="23" t="n">
        <v>45000</v>
      </c>
      <c r="F90" s="24" t="n">
        <v>53.23</v>
      </c>
      <c r="G90" s="24" t="n">
        <v>2395.35</v>
      </c>
    </row>
    <row r="91" ht="15" customHeight="1">
      <c r="A91" s="12" t="inlineStr">
        <is>
          <t>8301768</t>
        </is>
      </c>
      <c r="B91" s="13" t="inlineStr">
        <is>
          <t>Perfuração concreto martelete D=13mm</t>
        </is>
      </c>
      <c r="C91" s="14" t="inlineStr">
        <is>
          <t>M</t>
        </is>
      </c>
      <c r="D91" s="55" t="inlineStr">
        <is>
          <t>OAE-SA</t>
        </is>
      </c>
      <c r="E91" s="17" t="n">
        <v>64000</v>
      </c>
      <c r="F91" s="16" t="n">
        <v>22.81</v>
      </c>
      <c r="G91" s="16" t="n">
        <v>1459.84</v>
      </c>
    </row>
    <row r="92" ht="15" customHeight="1">
      <c r="A92" s="20" t="inlineStr">
        <is>
          <t>83020296</t>
        </is>
      </c>
      <c r="B92" s="21" t="inlineStr">
        <is>
          <t>Braço iluminação pública aço galv.</t>
        </is>
      </c>
      <c r="C92" s="22" t="inlineStr">
        <is>
          <t>UND</t>
        </is>
      </c>
      <c r="D92" s="56" t="inlineStr">
        <is>
          <t>OCMA</t>
        </is>
      </c>
      <c r="E92" s="23" t="n">
        <v>40000</v>
      </c>
      <c r="F92" s="24" t="n">
        <v>140.97</v>
      </c>
      <c r="G92" s="24" t="n">
        <v>5638.8</v>
      </c>
    </row>
    <row r="93" ht="15" customHeight="1">
      <c r="A93" s="12" t="inlineStr">
        <is>
          <t>83020356</t>
        </is>
      </c>
      <c r="B93" s="13" t="inlineStr">
        <is>
          <t>Assent. poste concreto 11m</t>
        </is>
      </c>
      <c r="C93" s="14" t="inlineStr">
        <is>
          <t>UND</t>
        </is>
      </c>
      <c r="D93" s="55" t="inlineStr">
        <is>
          <t>OCMA</t>
        </is>
      </c>
      <c r="E93" s="17" t="n">
        <v>20000</v>
      </c>
      <c r="F93" s="16" t="n">
        <v>2918.61</v>
      </c>
      <c r="G93" s="16" t="n">
        <v>58372.2</v>
      </c>
    </row>
    <row r="94" ht="15" customHeight="1">
      <c r="A94" s="20" t="inlineStr">
        <is>
          <t>83020357</t>
        </is>
      </c>
      <c r="B94" s="21" t="inlineStr">
        <is>
          <t>Cabo cobre flexível 25mm²</t>
        </is>
      </c>
      <c r="C94" s="22" t="inlineStr">
        <is>
          <t>UND</t>
        </is>
      </c>
      <c r="D94" s="56" t="inlineStr">
        <is>
          <t>OCMA</t>
        </is>
      </c>
      <c r="E94" s="23" t="n">
        <v>2220000</v>
      </c>
      <c r="F94" s="24" t="n">
        <v>4.47</v>
      </c>
      <c r="G94" s="24" t="n">
        <v>9923.4</v>
      </c>
    </row>
    <row r="95" ht="15" customHeight="1">
      <c r="A95" s="12" t="inlineStr">
        <is>
          <t>83020358</t>
        </is>
      </c>
      <c r="B95" s="13" t="inlineStr">
        <is>
          <t>Guindauto hidráulico 6200 kg</t>
        </is>
      </c>
      <c r="C95" s="14" t="inlineStr">
        <is>
          <t>CHP</t>
        </is>
      </c>
      <c r="D95" s="55" t="inlineStr">
        <is>
          <t>CONSER</t>
        </is>
      </c>
      <c r="E95" s="17" t="n">
        <v>80000</v>
      </c>
      <c r="F95" s="16" t="n">
        <v>288.32</v>
      </c>
      <c r="G95" s="16" t="n">
        <v>23065.6</v>
      </c>
    </row>
    <row r="96" ht="15" customHeight="1">
      <c r="A96" s="20" t="inlineStr">
        <is>
          <t>83020359</t>
        </is>
      </c>
      <c r="B96" s="21" t="inlineStr">
        <is>
          <t>Haste aterramento 5/8" 3m</t>
        </is>
      </c>
      <c r="C96" s="22" t="inlineStr">
        <is>
          <t>UND</t>
        </is>
      </c>
      <c r="D96" s="56" t="inlineStr">
        <is>
          <t>CONSER</t>
        </is>
      </c>
      <c r="E96" s="23" t="n">
        <v>20000</v>
      </c>
      <c r="F96" s="24" t="n">
        <v>80.47</v>
      </c>
      <c r="G96" s="24" t="n">
        <v>1609.4</v>
      </c>
    </row>
    <row r="97" ht="15" customHeight="1">
      <c r="A97" s="12" t="inlineStr">
        <is>
          <t>83020360</t>
        </is>
      </c>
      <c r="B97" s="13" t="inlineStr">
        <is>
          <t>Entrada energia elétrica monofásica</t>
        </is>
      </c>
      <c r="C97" s="14" t="inlineStr">
        <is>
          <t>UND</t>
        </is>
      </c>
      <c r="D97" s="55" t="inlineStr">
        <is>
          <t>INCC</t>
        </is>
      </c>
      <c r="E97" s="17" t="n">
        <v>2000</v>
      </c>
      <c r="F97" s="16" t="n">
        <v>1604.84</v>
      </c>
      <c r="G97" s="16" t="n">
        <v>3209.68</v>
      </c>
    </row>
    <row r="98" ht="15" customHeight="1">
      <c r="A98" s="20" t="inlineStr">
        <is>
          <t>83020361</t>
        </is>
      </c>
      <c r="B98" s="21" t="inlineStr">
        <is>
          <t>Remoção cabos elétricos</t>
        </is>
      </c>
      <c r="C98" s="22" t="inlineStr">
        <is>
          <t>M</t>
        </is>
      </c>
      <c r="D98" s="56" t="inlineStr">
        <is>
          <t>INCC</t>
        </is>
      </c>
      <c r="E98" s="23" t="n">
        <v>1440000</v>
      </c>
      <c r="F98" s="24" t="n">
        <v>0.65</v>
      </c>
      <c r="G98" s="24" t="n">
        <v>936</v>
      </c>
    </row>
    <row r="99" ht="20" customHeight="1">
      <c r="A99" s="32" t="inlineStr">
        <is>
          <t>Subtotal</t>
        </is>
      </c>
      <c r="B99" s="33" t="n"/>
      <c r="C99" s="33" t="n"/>
      <c r="D99" s="33" t="n"/>
      <c r="E99" s="33" t="n"/>
      <c r="F99" s="33" t="n"/>
      <c r="G99" s="34" t="n">
        <v>172890.49</v>
      </c>
    </row>
    <row r="100" ht="24" customHeight="1">
      <c r="A100" s="50" t="inlineStr">
        <is>
          <t>TOTAL DO CONTRATO</t>
        </is>
      </c>
      <c r="B100" s="51" t="n"/>
      <c r="C100" s="51" t="n"/>
      <c r="D100" s="51" t="n"/>
      <c r="E100" s="51" t="n"/>
      <c r="F100" s="51" t="n"/>
      <c r="G100" s="52" t="n">
        <v>11371194.85</v>
      </c>
    </row>
  </sheetData>
  <mergeCells count="16">
    <mergeCell ref="A99:F99"/>
    <mergeCell ref="A1:G1"/>
    <mergeCell ref="A46:F46"/>
    <mergeCell ref="A3:G3"/>
    <mergeCell ref="A100:F100"/>
    <mergeCell ref="A70:F70"/>
    <mergeCell ref="A67:F67"/>
    <mergeCell ref="A2:G2"/>
    <mergeCell ref="A71:G71"/>
    <mergeCell ref="A62:F62"/>
    <mergeCell ref="A82:G82"/>
    <mergeCell ref="A68:G68"/>
    <mergeCell ref="A63:G63"/>
    <mergeCell ref="A47:G47"/>
    <mergeCell ref="A5:G5"/>
    <mergeCell ref="A81:F81"/>
  </mergeCells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2026-08-24T19:27:28Z</dcterms:created>
  <dcterms:modified xsi:type="dcterms:W3CDTF">2026-08-24T19:27:28Z</dcterms:modified>
</cp:coreProperties>
</file>